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6391CA5F-9209-46D9-98EE-61BFF1325F25}" xr6:coauthVersionLast="45" xr6:coauthVersionMax="45" xr10:uidLastSave="{00000000-0000-0000-0000-000000000000}"/>
  <bookViews>
    <workbookView xWindow="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<sst xmlns="http://schemas.openxmlformats.org/spreadsheetml/2006/main" count="450" uniqueCount="239">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</sst>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6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E35" sqref="E3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13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9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106" zoomScale="85" zoomScaleNormal="85" workbookViewId="0">
      <selection activeCell="K125" sqref="K125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20</v>
      </c>
      <c r="F2" s="12"/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Festival</v>
      </c>
      <c r="S2" s="12" t="str">
        <f>IFERROR(VLOOKUP(F2,categorieen!$D:$E,2,FALSE),"")</f>
        <v/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/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>
        <v>40</v>
      </c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>Typisch Brabants (TB)</v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>
        <v>25</v>
      </c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40</v>
      </c>
      <c r="G53" s="12">
        <v>27</v>
      </c>
      <c r="H53" s="12"/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Typisch Brabants (TB)</v>
      </c>
      <c r="T53" s="12" t="str">
        <f>IFERROR(VLOOKUP(G53,categorieen!$D:$E,2,FALSE),"")</f>
        <v>Eten en Drinken (ED)</v>
      </c>
      <c r="U53" s="12" t="str">
        <f>IFERROR(VLOOKUP(H53,categorieen!$D:$E,2,FALSE),"")</f>
        <v/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32</v>
      </c>
      <c r="H97" s="12"/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Met ie</v>
      </c>
      <c r="U97" s="12" t="str">
        <f>IFERROR(VLOOKUP(H97,categorieen!$D:$E,2,FALSE),"")</f>
        <v/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31</v>
      </c>
      <c r="F104" s="12"/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Kleurrijk</v>
      </c>
      <c r="S104" s="12" t="str">
        <f>IFERROR(VLOOKUP(F104,categorieen!$D:$E,2,FALSE),"")</f>
        <v/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/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/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G1" workbookViewId="0">
      <selection activeCell="K23" sqref="K2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9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18 September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De Heuvel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De Vrijthof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Lieve Lente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Laat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Glow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Pand P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Intents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(plein) 1969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 't Groene Woud (GW)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Sint Joris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Paperclip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St. Willebrord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Rooi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t Kruiken(plein)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Roze Maandag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t Blauwe Meer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Van Geel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Witte Dame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>
        <f ca="1"/>
        <v>0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Typisch Brabants (TB)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/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2021-01-02T02:28:54Z</dcterms:modified>
</cp:coreProperties>
</file>