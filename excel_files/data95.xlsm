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CA1AB99B-1C4D-4016-B438-96F5AEA7E601}" xr6:coauthVersionLast="45" xr6:coauthVersionMax="45" xr10:uidLastSave="{00000000-0000-0000-0000-000000000000}"/>
  <bookViews>
    <workbookView xWindow="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Per antwoord" sheetId="9" r:id="rId6"/>
    <sheet name="Blad2" sheetId="2" state="hidden" r:id="rId7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5" i="3" l="1"/>
  <c r="U131" i="3"/>
  <c r="U22" i="3"/>
  <c r="U35" i="3" l="1"/>
  <c r="S126" i="3" l="1"/>
  <c r="R126" i="3"/>
  <c r="Q126" i="3"/>
  <c r="P126" i="3"/>
  <c r="W133" i="3" l="1"/>
  <c r="V133" i="3"/>
  <c r="U133" i="3"/>
  <c r="T133" i="3"/>
  <c r="S133" i="3"/>
  <c r="R133" i="3"/>
  <c r="Q133" i="3"/>
  <c r="P133" i="3"/>
  <c r="W132" i="3"/>
  <c r="V132" i="3"/>
  <c r="U132" i="3"/>
  <c r="T132" i="3"/>
  <c r="S132" i="3"/>
  <c r="R132" i="3"/>
  <c r="Q132" i="3"/>
  <c r="P132" i="3"/>
  <c r="W131" i="3"/>
  <c r="V131" i="3"/>
  <c r="T131" i="3"/>
  <c r="S131" i="3"/>
  <c r="R131" i="3"/>
  <c r="Q131" i="3"/>
  <c r="P131" i="3"/>
  <c r="W130" i="3"/>
  <c r="V130" i="3"/>
  <c r="U130" i="3"/>
  <c r="T130" i="3"/>
  <c r="S130" i="3"/>
  <c r="R130" i="3"/>
  <c r="Q130" i="3"/>
  <c r="P130" i="3"/>
  <c r="W129" i="3"/>
  <c r="V129" i="3"/>
  <c r="U129" i="3"/>
  <c r="T129" i="3"/>
  <c r="S129" i="3"/>
  <c r="R129" i="3"/>
  <c r="Q129" i="3"/>
  <c r="P129" i="3"/>
  <c r="W128" i="3"/>
  <c r="V128" i="3"/>
  <c r="U128" i="3"/>
  <c r="T128" i="3"/>
  <c r="S128" i="3"/>
  <c r="R128" i="3"/>
  <c r="Q128" i="3"/>
  <c r="P128" i="3"/>
  <c r="W127" i="3"/>
  <c r="V127" i="3"/>
  <c r="U127" i="3"/>
  <c r="T127" i="3"/>
  <c r="S127" i="3"/>
  <c r="R127" i="3"/>
  <c r="Q127" i="3"/>
  <c r="P127" i="3"/>
  <c r="W126" i="3"/>
  <c r="V126" i="3"/>
  <c r="U126" i="3"/>
  <c r="T126" i="3"/>
  <c r="W125" i="3"/>
  <c r="V125" i="3"/>
  <c r="U125" i="3"/>
  <c r="T125" i="3"/>
  <c r="S125" i="3"/>
  <c r="R125" i="3"/>
  <c r="Q125" i="3"/>
  <c r="P125" i="3"/>
  <c r="W124" i="3"/>
  <c r="V124" i="3"/>
  <c r="U124" i="3"/>
  <c r="T124" i="3"/>
  <c r="S124" i="3"/>
  <c r="R124" i="3"/>
  <c r="Q124" i="3"/>
  <c r="P124" i="3"/>
  <c r="W123" i="3"/>
  <c r="V123" i="3"/>
  <c r="U123" i="3"/>
  <c r="T123" i="3"/>
  <c r="S123" i="3"/>
  <c r="R123" i="3"/>
  <c r="Q123" i="3"/>
  <c r="P123" i="3"/>
  <c r="W122" i="3"/>
  <c r="V122" i="3"/>
  <c r="U122" i="3"/>
  <c r="T122" i="3"/>
  <c r="S122" i="3"/>
  <c r="R122" i="3"/>
  <c r="Q122" i="3"/>
  <c r="P122" i="3"/>
  <c r="W121" i="3"/>
  <c r="V121" i="3"/>
  <c r="U121" i="3"/>
  <c r="T121" i="3"/>
  <c r="S121" i="3"/>
  <c r="R121" i="3"/>
  <c r="Q121" i="3"/>
  <c r="P121" i="3"/>
  <c r="W120" i="3"/>
  <c r="V120" i="3"/>
  <c r="U120" i="3"/>
  <c r="T120" i="3"/>
  <c r="S120" i="3"/>
  <c r="R120" i="3"/>
  <c r="Q120" i="3"/>
  <c r="P120" i="3"/>
  <c r="W119" i="3"/>
  <c r="V119" i="3"/>
  <c r="U119" i="3"/>
  <c r="T119" i="3"/>
  <c r="S119" i="3"/>
  <c r="R119" i="3"/>
  <c r="Q119" i="3"/>
  <c r="P119" i="3"/>
  <c r="W118" i="3"/>
  <c r="V118" i="3"/>
  <c r="U118" i="3"/>
  <c r="T118" i="3"/>
  <c r="S118" i="3"/>
  <c r="R118" i="3"/>
  <c r="Q118" i="3"/>
  <c r="P118" i="3"/>
  <c r="W117" i="3"/>
  <c r="V117" i="3"/>
  <c r="U117" i="3"/>
  <c r="T117" i="3"/>
  <c r="S117" i="3"/>
  <c r="R117" i="3"/>
  <c r="Q117" i="3"/>
  <c r="P117" i="3"/>
  <c r="W116" i="3"/>
  <c r="V116" i="3"/>
  <c r="U116" i="3"/>
  <c r="T116" i="3"/>
  <c r="S116" i="3"/>
  <c r="R116" i="3"/>
  <c r="Q116" i="3"/>
  <c r="P116" i="3"/>
  <c r="W115" i="3"/>
  <c r="V115" i="3"/>
  <c r="U115" i="3"/>
  <c r="T115" i="3"/>
  <c r="S115" i="3"/>
  <c r="R115" i="3"/>
  <c r="Q115" i="3"/>
  <c r="P115" i="3"/>
  <c r="W114" i="3"/>
  <c r="V114" i="3"/>
  <c r="U114" i="3"/>
  <c r="T114" i="3"/>
  <c r="S114" i="3"/>
  <c r="R114" i="3"/>
  <c r="Q114" i="3"/>
  <c r="P114" i="3"/>
  <c r="W113" i="3"/>
  <c r="V113" i="3"/>
  <c r="U113" i="3"/>
  <c r="T113" i="3"/>
  <c r="S113" i="3"/>
  <c r="R113" i="3"/>
  <c r="Q113" i="3"/>
  <c r="P113" i="3"/>
  <c r="W112" i="3"/>
  <c r="V112" i="3"/>
  <c r="U112" i="3"/>
  <c r="T112" i="3"/>
  <c r="S112" i="3"/>
  <c r="R112" i="3"/>
  <c r="Q112" i="3"/>
  <c r="P112" i="3"/>
  <c r="W111" i="3"/>
  <c r="V111" i="3"/>
  <c r="U111" i="3"/>
  <c r="T111" i="3"/>
  <c r="S111" i="3"/>
  <c r="R111" i="3"/>
  <c r="Q111" i="3"/>
  <c r="P111" i="3"/>
  <c r="W110" i="3"/>
  <c r="V110" i="3"/>
  <c r="U110" i="3"/>
  <c r="T110" i="3"/>
  <c r="S110" i="3"/>
  <c r="R110" i="3"/>
  <c r="Q110" i="3"/>
  <c r="P110" i="3"/>
  <c r="W109" i="3"/>
  <c r="V109" i="3"/>
  <c r="U109" i="3"/>
  <c r="T109" i="3"/>
  <c r="S109" i="3"/>
  <c r="R109" i="3"/>
  <c r="Q109" i="3"/>
  <c r="P109" i="3"/>
  <c r="W108" i="3"/>
  <c r="V108" i="3"/>
  <c r="U108" i="3"/>
  <c r="T108" i="3"/>
  <c r="S108" i="3"/>
  <c r="R108" i="3"/>
  <c r="Q108" i="3"/>
  <c r="P108" i="3"/>
  <c r="W107" i="3"/>
  <c r="V107" i="3"/>
  <c r="U107" i="3"/>
  <c r="T107" i="3"/>
  <c r="S107" i="3"/>
  <c r="R107" i="3"/>
  <c r="Q107" i="3"/>
  <c r="P107" i="3"/>
  <c r="W106" i="3"/>
  <c r="V106" i="3"/>
  <c r="U106" i="3"/>
  <c r="T106" i="3"/>
  <c r="S106" i="3"/>
  <c r="R106" i="3"/>
  <c r="Q106" i="3"/>
  <c r="P106" i="3"/>
  <c r="W105" i="3"/>
  <c r="V105" i="3"/>
  <c r="U105" i="3"/>
  <c r="T105" i="3"/>
  <c r="S105" i="3"/>
  <c r="R105" i="3"/>
  <c r="Q105" i="3"/>
  <c r="P105" i="3"/>
  <c r="W104" i="3"/>
  <c r="V104" i="3"/>
  <c r="U104" i="3"/>
  <c r="T104" i="3"/>
  <c r="S104" i="3"/>
  <c r="R104" i="3"/>
  <c r="Q104" i="3"/>
  <c r="P104" i="3"/>
  <c r="W103" i="3"/>
  <c r="V103" i="3"/>
  <c r="U103" i="3"/>
  <c r="T103" i="3"/>
  <c r="S103" i="3"/>
  <c r="R103" i="3"/>
  <c r="Q103" i="3"/>
  <c r="P103" i="3"/>
  <c r="W102" i="3"/>
  <c r="V102" i="3"/>
  <c r="U102" i="3"/>
  <c r="T102" i="3"/>
  <c r="S102" i="3"/>
  <c r="R102" i="3"/>
  <c r="Q102" i="3"/>
  <c r="P102" i="3"/>
  <c r="W101" i="3"/>
  <c r="V101" i="3"/>
  <c r="U101" i="3"/>
  <c r="T101" i="3"/>
  <c r="S101" i="3"/>
  <c r="R101" i="3"/>
  <c r="Q101" i="3"/>
  <c r="P101" i="3"/>
  <c r="W100" i="3"/>
  <c r="V100" i="3"/>
  <c r="U100" i="3"/>
  <c r="T100" i="3"/>
  <c r="S100" i="3"/>
  <c r="R100" i="3"/>
  <c r="Q100" i="3"/>
  <c r="P100" i="3"/>
  <c r="W99" i="3"/>
  <c r="V99" i="3"/>
  <c r="U99" i="3"/>
  <c r="T99" i="3"/>
  <c r="S99" i="3"/>
  <c r="R99" i="3"/>
  <c r="Q99" i="3"/>
  <c r="P99" i="3"/>
  <c r="W98" i="3"/>
  <c r="V98" i="3"/>
  <c r="U98" i="3"/>
  <c r="T98" i="3"/>
  <c r="S98" i="3"/>
  <c r="R98" i="3"/>
  <c r="Q98" i="3"/>
  <c r="P98" i="3"/>
  <c r="W97" i="3"/>
  <c r="V97" i="3"/>
  <c r="U97" i="3"/>
  <c r="T97" i="3"/>
  <c r="S97" i="3"/>
  <c r="R97" i="3"/>
  <c r="Q97" i="3"/>
  <c r="P97" i="3"/>
  <c r="W96" i="3"/>
  <c r="V96" i="3"/>
  <c r="U96" i="3"/>
  <c r="T96" i="3"/>
  <c r="S96" i="3"/>
  <c r="R96" i="3"/>
  <c r="Q96" i="3"/>
  <c r="P96" i="3"/>
  <c r="W95" i="3"/>
  <c r="V95" i="3"/>
  <c r="U95" i="3"/>
  <c r="T95" i="3"/>
  <c r="S95" i="3"/>
  <c r="R95" i="3"/>
  <c r="Q95" i="3"/>
  <c r="P95" i="3"/>
  <c r="W94" i="3"/>
  <c r="V94" i="3"/>
  <c r="U94" i="3"/>
  <c r="T94" i="3"/>
  <c r="S94" i="3"/>
  <c r="R94" i="3"/>
  <c r="Q94" i="3"/>
  <c r="P94" i="3"/>
  <c r="W93" i="3"/>
  <c r="V93" i="3"/>
  <c r="U93" i="3"/>
  <c r="T93" i="3"/>
  <c r="S93" i="3"/>
  <c r="R93" i="3"/>
  <c r="Q93" i="3"/>
  <c r="P93" i="3"/>
  <c r="W92" i="3"/>
  <c r="V92" i="3"/>
  <c r="U92" i="3"/>
  <c r="T92" i="3"/>
  <c r="S92" i="3"/>
  <c r="R92" i="3"/>
  <c r="Q92" i="3"/>
  <c r="P92" i="3"/>
  <c r="W91" i="3"/>
  <c r="V91" i="3"/>
  <c r="U91" i="3"/>
  <c r="T91" i="3"/>
  <c r="S91" i="3"/>
  <c r="R91" i="3"/>
  <c r="Q91" i="3"/>
  <c r="P91" i="3"/>
  <c r="W90" i="3"/>
  <c r="V90" i="3"/>
  <c r="U90" i="3"/>
  <c r="T90" i="3"/>
  <c r="S90" i="3"/>
  <c r="R90" i="3"/>
  <c r="Q90" i="3"/>
  <c r="P90" i="3"/>
  <c r="W89" i="3"/>
  <c r="V89" i="3"/>
  <c r="U89" i="3"/>
  <c r="T89" i="3"/>
  <c r="S89" i="3"/>
  <c r="R89" i="3"/>
  <c r="Q89" i="3"/>
  <c r="P89" i="3"/>
  <c r="W88" i="3"/>
  <c r="V88" i="3"/>
  <c r="U88" i="3"/>
  <c r="T88" i="3"/>
  <c r="S88" i="3"/>
  <c r="R88" i="3"/>
  <c r="Q88" i="3"/>
  <c r="P88" i="3"/>
  <c r="W87" i="3"/>
  <c r="V87" i="3"/>
  <c r="U87" i="3"/>
  <c r="T87" i="3"/>
  <c r="S87" i="3"/>
  <c r="R87" i="3"/>
  <c r="Q87" i="3"/>
  <c r="P87" i="3"/>
  <c r="W86" i="3"/>
  <c r="V86" i="3"/>
  <c r="U86" i="3"/>
  <c r="T86" i="3"/>
  <c r="S86" i="3"/>
  <c r="R86" i="3"/>
  <c r="Q86" i="3"/>
  <c r="P86" i="3"/>
  <c r="W85" i="3"/>
  <c r="V85" i="3"/>
  <c r="U85" i="3"/>
  <c r="T85" i="3"/>
  <c r="S85" i="3"/>
  <c r="R85" i="3"/>
  <c r="Q85" i="3"/>
  <c r="P85" i="3"/>
  <c r="W84" i="3"/>
  <c r="V84" i="3"/>
  <c r="U84" i="3"/>
  <c r="T84" i="3"/>
  <c r="S84" i="3"/>
  <c r="R84" i="3"/>
  <c r="Q84" i="3"/>
  <c r="P84" i="3"/>
  <c r="W83" i="3"/>
  <c r="V83" i="3"/>
  <c r="U83" i="3"/>
  <c r="T83" i="3"/>
  <c r="S83" i="3"/>
  <c r="R83" i="3"/>
  <c r="Q83" i="3"/>
  <c r="P83" i="3"/>
  <c r="W82" i="3"/>
  <c r="V82" i="3"/>
  <c r="U82" i="3"/>
  <c r="T82" i="3"/>
  <c r="S82" i="3"/>
  <c r="R82" i="3"/>
  <c r="Q82" i="3"/>
  <c r="P82" i="3"/>
  <c r="W81" i="3"/>
  <c r="V81" i="3"/>
  <c r="U81" i="3"/>
  <c r="T81" i="3"/>
  <c r="S81" i="3"/>
  <c r="R81" i="3"/>
  <c r="Q81" i="3"/>
  <c r="P81" i="3"/>
  <c r="W80" i="3"/>
  <c r="V80" i="3"/>
  <c r="U80" i="3"/>
  <c r="T80" i="3"/>
  <c r="S80" i="3"/>
  <c r="R80" i="3"/>
  <c r="Q80" i="3"/>
  <c r="P80" i="3"/>
  <c r="W79" i="3"/>
  <c r="V79" i="3"/>
  <c r="U79" i="3"/>
  <c r="T79" i="3"/>
  <c r="S79" i="3"/>
  <c r="R79" i="3"/>
  <c r="Q79" i="3"/>
  <c r="P79" i="3"/>
  <c r="W78" i="3"/>
  <c r="V78" i="3"/>
  <c r="U78" i="3"/>
  <c r="T78" i="3"/>
  <c r="S78" i="3"/>
  <c r="R78" i="3"/>
  <c r="Q78" i="3"/>
  <c r="P78" i="3"/>
  <c r="W77" i="3"/>
  <c r="V77" i="3"/>
  <c r="U77" i="3"/>
  <c r="T77" i="3"/>
  <c r="S77" i="3"/>
  <c r="R77" i="3"/>
  <c r="Q77" i="3"/>
  <c r="P77" i="3"/>
  <c r="W76" i="3"/>
  <c r="V76" i="3"/>
  <c r="U76" i="3"/>
  <c r="T76" i="3"/>
  <c r="S76" i="3"/>
  <c r="R76" i="3"/>
  <c r="Q76" i="3"/>
  <c r="P76" i="3"/>
  <c r="W75" i="3"/>
  <c r="V75" i="3"/>
  <c r="U75" i="3"/>
  <c r="T75" i="3"/>
  <c r="S75" i="3"/>
  <c r="R75" i="3"/>
  <c r="Q75" i="3"/>
  <c r="P75" i="3"/>
  <c r="W74" i="3"/>
  <c r="V74" i="3"/>
  <c r="U74" i="3"/>
  <c r="T74" i="3"/>
  <c r="S74" i="3"/>
  <c r="R74" i="3"/>
  <c r="Q74" i="3"/>
  <c r="P74" i="3"/>
  <c r="W73" i="3"/>
  <c r="V73" i="3"/>
  <c r="U73" i="3"/>
  <c r="T73" i="3"/>
  <c r="S73" i="3"/>
  <c r="R73" i="3"/>
  <c r="Q73" i="3"/>
  <c r="P73" i="3"/>
  <c r="W72" i="3"/>
  <c r="V72" i="3"/>
  <c r="U72" i="3"/>
  <c r="T72" i="3"/>
  <c r="S72" i="3"/>
  <c r="R72" i="3"/>
  <c r="Q72" i="3"/>
  <c r="P72" i="3"/>
  <c r="W71" i="3"/>
  <c r="V71" i="3"/>
  <c r="U71" i="3"/>
  <c r="T71" i="3"/>
  <c r="S71" i="3"/>
  <c r="R71" i="3"/>
  <c r="Q71" i="3"/>
  <c r="P71" i="3"/>
  <c r="W70" i="3"/>
  <c r="V70" i="3"/>
  <c r="U70" i="3"/>
  <c r="T70" i="3"/>
  <c r="S70" i="3"/>
  <c r="R70" i="3"/>
  <c r="Q70" i="3"/>
  <c r="P70" i="3"/>
  <c r="W69" i="3"/>
  <c r="V69" i="3"/>
  <c r="U69" i="3"/>
  <c r="T69" i="3"/>
  <c r="S69" i="3"/>
  <c r="R69" i="3"/>
  <c r="Q69" i="3"/>
  <c r="P69" i="3"/>
  <c r="W68" i="3"/>
  <c r="V68" i="3"/>
  <c r="U68" i="3"/>
  <c r="T68" i="3"/>
  <c r="S68" i="3"/>
  <c r="R68" i="3"/>
  <c r="Q68" i="3"/>
  <c r="P68" i="3"/>
  <c r="W67" i="3"/>
  <c r="V67" i="3"/>
  <c r="U67" i="3"/>
  <c r="T67" i="3"/>
  <c r="S67" i="3"/>
  <c r="R67" i="3"/>
  <c r="Q67" i="3"/>
  <c r="P67" i="3"/>
  <c r="W66" i="3"/>
  <c r="V66" i="3"/>
  <c r="U66" i="3"/>
  <c r="T66" i="3"/>
  <c r="S66" i="3"/>
  <c r="R66" i="3"/>
  <c r="Q66" i="3"/>
  <c r="P66" i="3"/>
  <c r="W65" i="3"/>
  <c r="V65" i="3"/>
  <c r="U65" i="3"/>
  <c r="T65" i="3"/>
  <c r="S65" i="3"/>
  <c r="R65" i="3"/>
  <c r="Q65" i="3"/>
  <c r="P65" i="3"/>
  <c r="W64" i="3"/>
  <c r="V64" i="3"/>
  <c r="U64" i="3"/>
  <c r="T64" i="3"/>
  <c r="S64" i="3"/>
  <c r="R64" i="3"/>
  <c r="Q64" i="3"/>
  <c r="P64" i="3"/>
  <c r="W63" i="3"/>
  <c r="V63" i="3"/>
  <c r="U63" i="3"/>
  <c r="T63" i="3"/>
  <c r="S63" i="3"/>
  <c r="R63" i="3"/>
  <c r="Q63" i="3"/>
  <c r="P63" i="3"/>
  <c r="W62" i="3"/>
  <c r="V62" i="3"/>
  <c r="U62" i="3"/>
  <c r="T62" i="3"/>
  <c r="S62" i="3"/>
  <c r="R62" i="3"/>
  <c r="Q62" i="3"/>
  <c r="P62" i="3"/>
  <c r="W61" i="3"/>
  <c r="V61" i="3"/>
  <c r="U61" i="3"/>
  <c r="T61" i="3"/>
  <c r="S61" i="3"/>
  <c r="R61" i="3"/>
  <c r="Q61" i="3"/>
  <c r="P61" i="3"/>
  <c r="W60" i="3"/>
  <c r="V60" i="3"/>
  <c r="U60" i="3"/>
  <c r="T60" i="3"/>
  <c r="S60" i="3"/>
  <c r="R60" i="3"/>
  <c r="Q60" i="3"/>
  <c r="P60" i="3"/>
  <c r="W59" i="3"/>
  <c r="V59" i="3"/>
  <c r="U59" i="3"/>
  <c r="T59" i="3"/>
  <c r="S59" i="3"/>
  <c r="R59" i="3"/>
  <c r="Q59" i="3"/>
  <c r="P59" i="3"/>
  <c r="W58" i="3"/>
  <c r="V58" i="3"/>
  <c r="U58" i="3"/>
  <c r="T58" i="3"/>
  <c r="S58" i="3"/>
  <c r="R58" i="3"/>
  <c r="Q58" i="3"/>
  <c r="P58" i="3"/>
  <c r="W57" i="3"/>
  <c r="V57" i="3"/>
  <c r="U57" i="3"/>
  <c r="T57" i="3"/>
  <c r="S57" i="3"/>
  <c r="R57" i="3"/>
  <c r="Q57" i="3"/>
  <c r="P57" i="3"/>
  <c r="W56" i="3"/>
  <c r="V56" i="3"/>
  <c r="U56" i="3"/>
  <c r="T56" i="3"/>
  <c r="S56" i="3"/>
  <c r="R56" i="3"/>
  <c r="Q56" i="3"/>
  <c r="P56" i="3"/>
  <c r="W55" i="3"/>
  <c r="V55" i="3"/>
  <c r="U55" i="3"/>
  <c r="T55" i="3"/>
  <c r="S55" i="3"/>
  <c r="R55" i="3"/>
  <c r="Q55" i="3"/>
  <c r="P55" i="3"/>
  <c r="W54" i="3"/>
  <c r="V54" i="3"/>
  <c r="U54" i="3"/>
  <c r="T54" i="3"/>
  <c r="S54" i="3"/>
  <c r="R54" i="3"/>
  <c r="Q54" i="3"/>
  <c r="P54" i="3"/>
  <c r="W53" i="3"/>
  <c r="V53" i="3"/>
  <c r="U53" i="3"/>
  <c r="T53" i="3"/>
  <c r="S53" i="3"/>
  <c r="R53" i="3"/>
  <c r="Q53" i="3"/>
  <c r="P53" i="3"/>
  <c r="W52" i="3"/>
  <c r="V52" i="3"/>
  <c r="U52" i="3"/>
  <c r="T52" i="3"/>
  <c r="S52" i="3"/>
  <c r="R52" i="3"/>
  <c r="Q52" i="3"/>
  <c r="P52" i="3"/>
  <c r="W51" i="3"/>
  <c r="V51" i="3"/>
  <c r="U51" i="3"/>
  <c r="T51" i="3"/>
  <c r="S51" i="3"/>
  <c r="R51" i="3"/>
  <c r="Q51" i="3"/>
  <c r="P51" i="3"/>
  <c r="W50" i="3"/>
  <c r="V50" i="3"/>
  <c r="U50" i="3"/>
  <c r="T50" i="3"/>
  <c r="S50" i="3"/>
  <c r="R50" i="3"/>
  <c r="Q50" i="3"/>
  <c r="P50" i="3"/>
  <c r="W49" i="3"/>
  <c r="V49" i="3"/>
  <c r="U49" i="3"/>
  <c r="T49" i="3"/>
  <c r="S49" i="3"/>
  <c r="R49" i="3"/>
  <c r="Q49" i="3"/>
  <c r="P49" i="3"/>
  <c r="W48" i="3"/>
  <c r="V48" i="3"/>
  <c r="U48" i="3"/>
  <c r="T48" i="3"/>
  <c r="S48" i="3"/>
  <c r="R48" i="3"/>
  <c r="Q48" i="3"/>
  <c r="P48" i="3"/>
  <c r="W47" i="3"/>
  <c r="V47" i="3"/>
  <c r="U47" i="3"/>
  <c r="T47" i="3"/>
  <c r="S47" i="3"/>
  <c r="R47" i="3"/>
  <c r="Q47" i="3"/>
  <c r="P47" i="3"/>
  <c r="W46" i="3"/>
  <c r="V46" i="3"/>
  <c r="U46" i="3"/>
  <c r="T46" i="3"/>
  <c r="S46" i="3"/>
  <c r="R46" i="3"/>
  <c r="Q46" i="3"/>
  <c r="P46" i="3"/>
  <c r="W45" i="3"/>
  <c r="V45" i="3"/>
  <c r="U45" i="3"/>
  <c r="T45" i="3"/>
  <c r="S45" i="3"/>
  <c r="R45" i="3"/>
  <c r="Q45" i="3"/>
  <c r="P45" i="3"/>
  <c r="W44" i="3"/>
  <c r="V44" i="3"/>
  <c r="U44" i="3"/>
  <c r="T44" i="3"/>
  <c r="S44" i="3"/>
  <c r="R44" i="3"/>
  <c r="Q44" i="3"/>
  <c r="P44" i="3"/>
  <c r="W43" i="3"/>
  <c r="V43" i="3"/>
  <c r="U43" i="3"/>
  <c r="T43" i="3"/>
  <c r="S43" i="3"/>
  <c r="R43" i="3"/>
  <c r="Q43" i="3"/>
  <c r="P43" i="3"/>
  <c r="W42" i="3"/>
  <c r="V42" i="3"/>
  <c r="U42" i="3"/>
  <c r="T42" i="3"/>
  <c r="S42" i="3"/>
  <c r="R42" i="3"/>
  <c r="Q42" i="3"/>
  <c r="P42" i="3"/>
  <c r="W41" i="3"/>
  <c r="V41" i="3"/>
  <c r="U41" i="3"/>
  <c r="T41" i="3"/>
  <c r="S41" i="3"/>
  <c r="R41" i="3"/>
  <c r="Q41" i="3"/>
  <c r="P41" i="3"/>
  <c r="W40" i="3"/>
  <c r="V40" i="3"/>
  <c r="U40" i="3"/>
  <c r="T40" i="3"/>
  <c r="S40" i="3"/>
  <c r="R40" i="3"/>
  <c r="Q40" i="3"/>
  <c r="P40" i="3"/>
  <c r="W39" i="3"/>
  <c r="V39" i="3"/>
  <c r="U39" i="3"/>
  <c r="T39" i="3"/>
  <c r="S39" i="3"/>
  <c r="R39" i="3"/>
  <c r="Q39" i="3"/>
  <c r="P39" i="3"/>
  <c r="W38" i="3"/>
  <c r="V38" i="3"/>
  <c r="U38" i="3"/>
  <c r="T38" i="3"/>
  <c r="S38" i="3"/>
  <c r="R38" i="3"/>
  <c r="Q38" i="3"/>
  <c r="P38" i="3"/>
  <c r="W37" i="3"/>
  <c r="V37" i="3"/>
  <c r="U37" i="3"/>
  <c r="T37" i="3"/>
  <c r="S37" i="3"/>
  <c r="R37" i="3"/>
  <c r="Q37" i="3"/>
  <c r="P37" i="3"/>
  <c r="W36" i="3"/>
  <c r="V36" i="3"/>
  <c r="U36" i="3"/>
  <c r="T36" i="3"/>
  <c r="S36" i="3"/>
  <c r="R36" i="3"/>
  <c r="Q36" i="3"/>
  <c r="P36" i="3"/>
  <c r="W35" i="3"/>
  <c r="V35" i="3"/>
  <c r="T35" i="3"/>
  <c r="S35" i="3"/>
  <c r="R35" i="3"/>
  <c r="P35" i="3"/>
  <c r="W34" i="3"/>
  <c r="V34" i="3"/>
  <c r="U34" i="3"/>
  <c r="T34" i="3"/>
  <c r="S34" i="3"/>
  <c r="R34" i="3"/>
  <c r="Q34" i="3"/>
  <c r="P34" i="3"/>
  <c r="W33" i="3"/>
  <c r="V33" i="3"/>
  <c r="U33" i="3"/>
  <c r="T33" i="3"/>
  <c r="S33" i="3"/>
  <c r="R33" i="3"/>
  <c r="Q33" i="3"/>
  <c r="P33" i="3"/>
  <c r="W32" i="3"/>
  <c r="V32" i="3"/>
  <c r="U32" i="3"/>
  <c r="T32" i="3"/>
  <c r="S32" i="3"/>
  <c r="R32" i="3"/>
  <c r="Q32" i="3"/>
  <c r="P32" i="3"/>
  <c r="W31" i="3"/>
  <c r="V31" i="3"/>
  <c r="U31" i="3"/>
  <c r="T31" i="3"/>
  <c r="S31" i="3"/>
  <c r="R31" i="3"/>
  <c r="Q31" i="3"/>
  <c r="P31" i="3"/>
  <c r="W30" i="3"/>
  <c r="V30" i="3"/>
  <c r="U30" i="3"/>
  <c r="T30" i="3"/>
  <c r="S30" i="3"/>
  <c r="R30" i="3"/>
  <c r="Q30" i="3"/>
  <c r="P30" i="3"/>
  <c r="W29" i="3"/>
  <c r="V29" i="3"/>
  <c r="U29" i="3"/>
  <c r="T29" i="3"/>
  <c r="S29" i="3"/>
  <c r="R29" i="3"/>
  <c r="Q29" i="3"/>
  <c r="P29" i="3"/>
  <c r="W28" i="3"/>
  <c r="V28" i="3"/>
  <c r="U28" i="3"/>
  <c r="T28" i="3"/>
  <c r="S28" i="3"/>
  <c r="R28" i="3"/>
  <c r="Q28" i="3"/>
  <c r="P28" i="3"/>
  <c r="W27" i="3"/>
  <c r="V27" i="3"/>
  <c r="U27" i="3"/>
  <c r="T27" i="3"/>
  <c r="S27" i="3"/>
  <c r="R27" i="3"/>
  <c r="Q27" i="3"/>
  <c r="P27" i="3"/>
  <c r="W26" i="3"/>
  <c r="V26" i="3"/>
  <c r="U26" i="3"/>
  <c r="T26" i="3"/>
  <c r="S26" i="3"/>
  <c r="R26" i="3"/>
  <c r="Q26" i="3"/>
  <c r="P26" i="3"/>
  <c r="W25" i="3"/>
  <c r="V25" i="3"/>
  <c r="U25" i="3"/>
  <c r="T25" i="3"/>
  <c r="S25" i="3"/>
  <c r="R25" i="3"/>
  <c r="Q25" i="3"/>
  <c r="P25" i="3"/>
  <c r="W24" i="3"/>
  <c r="V24" i="3"/>
  <c r="U24" i="3"/>
  <c r="T24" i="3"/>
  <c r="S24" i="3"/>
  <c r="R24" i="3"/>
  <c r="Q24" i="3"/>
  <c r="P24" i="3"/>
  <c r="W23" i="3"/>
  <c r="V23" i="3"/>
  <c r="U23" i="3"/>
  <c r="T23" i="3"/>
  <c r="S23" i="3"/>
  <c r="R23" i="3"/>
  <c r="Q23" i="3"/>
  <c r="P23" i="3"/>
  <c r="W22" i="3"/>
  <c r="V22" i="3"/>
  <c r="T22" i="3"/>
  <c r="S22" i="3"/>
  <c r="R22" i="3"/>
  <c r="Q22" i="3"/>
  <c r="P22" i="3"/>
  <c r="W21" i="3"/>
  <c r="V21" i="3"/>
  <c r="U21" i="3"/>
  <c r="T21" i="3"/>
  <c r="S21" i="3"/>
  <c r="R21" i="3"/>
  <c r="Q21" i="3"/>
  <c r="P21" i="3"/>
  <c r="W20" i="3"/>
  <c r="V20" i="3"/>
  <c r="U20" i="3"/>
  <c r="T20" i="3"/>
  <c r="S20" i="3"/>
  <c r="R20" i="3"/>
  <c r="Q20" i="3"/>
  <c r="P20" i="3"/>
  <c r="W19" i="3"/>
  <c r="V19" i="3"/>
  <c r="U19" i="3"/>
  <c r="T19" i="3"/>
  <c r="S19" i="3"/>
  <c r="R19" i="3"/>
  <c r="Q19" i="3"/>
  <c r="P19" i="3"/>
  <c r="W18" i="3"/>
  <c r="V18" i="3"/>
  <c r="U18" i="3"/>
  <c r="T18" i="3"/>
  <c r="S18" i="3"/>
  <c r="R18" i="3"/>
  <c r="Q18" i="3"/>
  <c r="P18" i="3"/>
  <c r="W17" i="3"/>
  <c r="V17" i="3"/>
  <c r="U17" i="3"/>
  <c r="T17" i="3"/>
  <c r="S17" i="3"/>
  <c r="R17" i="3"/>
  <c r="Q17" i="3"/>
  <c r="P17" i="3"/>
  <c r="W16" i="3"/>
  <c r="V16" i="3"/>
  <c r="U16" i="3"/>
  <c r="T16" i="3"/>
  <c r="S16" i="3"/>
  <c r="R16" i="3"/>
  <c r="Q16" i="3"/>
  <c r="P16" i="3"/>
  <c r="W15" i="3"/>
  <c r="V15" i="3"/>
  <c r="U15" i="3"/>
  <c r="T15" i="3"/>
  <c r="S15" i="3"/>
  <c r="R15" i="3"/>
  <c r="Q15" i="3"/>
  <c r="P15" i="3"/>
  <c r="W14" i="3"/>
  <c r="V14" i="3"/>
  <c r="U14" i="3"/>
  <c r="T14" i="3"/>
  <c r="S14" i="3"/>
  <c r="R14" i="3"/>
  <c r="Q14" i="3"/>
  <c r="P14" i="3"/>
  <c r="W13" i="3"/>
  <c r="V13" i="3"/>
  <c r="U13" i="3"/>
  <c r="T13" i="3"/>
  <c r="S13" i="3"/>
  <c r="R13" i="3"/>
  <c r="Q13" i="3"/>
  <c r="P13" i="3"/>
  <c r="W12" i="3"/>
  <c r="V12" i="3"/>
  <c r="U12" i="3"/>
  <c r="T12" i="3"/>
  <c r="S12" i="3"/>
  <c r="R12" i="3"/>
  <c r="Q12" i="3"/>
  <c r="P12" i="3"/>
  <c r="W11" i="3"/>
  <c r="V11" i="3"/>
  <c r="U11" i="3"/>
  <c r="T11" i="3"/>
  <c r="S11" i="3"/>
  <c r="R11" i="3"/>
  <c r="Q11" i="3"/>
  <c r="P11" i="3"/>
  <c r="W10" i="3"/>
  <c r="V10" i="3"/>
  <c r="U10" i="3"/>
  <c r="T10" i="3"/>
  <c r="S10" i="3"/>
  <c r="R10" i="3"/>
  <c r="Q10" i="3"/>
  <c r="P10" i="3"/>
  <c r="W9" i="3"/>
  <c r="V9" i="3"/>
  <c r="U9" i="3"/>
  <c r="T9" i="3"/>
  <c r="S9" i="3"/>
  <c r="R9" i="3"/>
  <c r="Q9" i="3"/>
  <c r="P9" i="3"/>
  <c r="W8" i="3"/>
  <c r="V8" i="3"/>
  <c r="U8" i="3"/>
  <c r="T8" i="3"/>
  <c r="S8" i="3"/>
  <c r="R8" i="3"/>
  <c r="Q8" i="3"/>
  <c r="P8" i="3"/>
  <c r="W7" i="3"/>
  <c r="V7" i="3"/>
  <c r="U7" i="3"/>
  <c r="T7" i="3"/>
  <c r="S7" i="3"/>
  <c r="R7" i="3"/>
  <c r="Q7" i="3"/>
  <c r="P7" i="3"/>
  <c r="W6" i="3"/>
  <c r="V6" i="3"/>
  <c r="U6" i="3"/>
  <c r="T6" i="3"/>
  <c r="S6" i="3"/>
  <c r="R6" i="3"/>
  <c r="Q6" i="3"/>
  <c r="P6" i="3"/>
  <c r="W5" i="3"/>
  <c r="V5" i="3"/>
  <c r="U5" i="3"/>
  <c r="T5" i="3"/>
  <c r="S5" i="3"/>
  <c r="R5" i="3"/>
  <c r="Q5" i="3"/>
  <c r="P5" i="3"/>
  <c r="W4" i="3"/>
  <c r="V4" i="3"/>
  <c r="U4" i="3"/>
  <c r="T4" i="3"/>
  <c r="S4" i="3"/>
  <c r="R4" i="3"/>
  <c r="Q4" i="3"/>
  <c r="P4" i="3"/>
  <c r="W3" i="3"/>
  <c r="V3" i="3"/>
  <c r="U3" i="3"/>
  <c r="T3" i="3"/>
  <c r="S3" i="3"/>
  <c r="R3" i="3"/>
  <c r="Q3" i="3"/>
  <c r="P3" i="3"/>
  <c r="W2" i="3"/>
  <c r="V2" i="3"/>
  <c r="U2" i="3"/>
  <c r="T2" i="3"/>
  <c r="S2" i="3"/>
  <c r="R2" i="3"/>
  <c r="Q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G51" i="6" a="1"/>
  <c r="AE3" i="6" a="1"/>
  <c r="AC3" i="6" a="1"/>
  <c r="AC51" i="6" a="1"/>
  <c r="Y3" i="6" a="1"/>
  <c r="K51" i="6" a="1"/>
  <c r="AM51" i="6" a="1"/>
  <c r="AG51" i="6" a="1"/>
  <c r="AK3" i="6" a="1"/>
  <c r="O51" i="6" a="1"/>
  <c r="AM3" i="6" a="1"/>
  <c r="AI51" i="6" a="1"/>
  <c r="AO51" i="6" l="1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P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<sst xmlns="http://schemas.openxmlformats.org/spreadsheetml/2006/main" count="450" uniqueCount="239">
  <si>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</si>
  <si>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</si>
  <si>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</si>
  <si>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</si>
  <si>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</si>
  <si>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</si>
  <si>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</si>
  <si>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</si>
  <si>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</si>
  <si>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</si>
  <si>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</si>
  <si>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</si>
  <si>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</si>
  <si>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</si>
  <si>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</si>
  <si>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</si>
  <si>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</si>
  <si>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</si>
  <si>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</si>
  <si>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</si>
  <si>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</si>
  <si>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</si>
  <si>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</si>
  <si>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</si>
  <si>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</si>
  <si>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</si>
  <si>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</si>
  <si>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</si>
  <si>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</si>
  <si>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</si>
  <si>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</si>
  <si>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</si>
  <si>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</si>
  <si>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</si>
  <si>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</si>
  <si>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</si>
  <si>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</si>
  <si>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</si>
  <si>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</si>
  <si>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</si>
  <si>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</si>
  <si>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</si>
  <si>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</si>
  <si>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</si>
  <si>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</si>
  <si>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</si>
  <si>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</si>
  <si>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</si>
  <si>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</si>
  <si>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</si>
  <si>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</si>
  <si>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</si>
  <si>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</si>
  <si>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</si>
  <si>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</si>
  <si>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</si>
  <si>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</si>
  <si>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</si>
  <si>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</si>
  <si>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</si>
  <si>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</si>
  <si>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</si>
  <si>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</si>
  <si>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</si>
  <si>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</si>
  <si>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</si>
  <si>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</si>
  <si>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</si>
  <si>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</si>
  <si>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</si>
  <si>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</si>
  <si>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</si>
  <si>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</si>
  <si>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</si>
  <si>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</si>
  <si>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</si>
  <si>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</si>
  <si>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</si>
  <si>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</si>
  <si>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</si>
  <si>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</si>
  <si>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</si>
  <si>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</si>
  <si>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</si>
  <si>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</si>
  <si>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</si>
  <si>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</si>
  <si>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</si>
  <si>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</si>
  <si>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</si>
  <si>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</si>
  <si>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</si>
  <si>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</si>
  <si>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</si>
  <si>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</si>
  <si>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</si>
  <si>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</si>
  <si>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</si>
  <si>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</si>
  <si>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</si>
  <si>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</si>
  <si>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</si>
  <si>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</si>
  <si>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</si>
  <si>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</si>
  <si>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</si>
  <si>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</si>
  <si>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</si>
  <si>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</si>
  <si>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</si>
  <si>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</si>
  <si>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</si>
  <si>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</si>
  <si>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</si>
  <si>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</si>
  <si>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</si>
  <si>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</si>
  <si>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</si>
  <si>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</si>
  <si>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</si>
  <si>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</si>
  <si>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</si>
  <si>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</si>
  <si>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</si>
  <si>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</si>
  <si>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</si>
  <si>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</si>
  <si>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</si>
  <si>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</si>
  <si>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</si>
  <si>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</si>
  <si>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</si>
  <si>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</si>
  <si>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</si>
  <si>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</si>
  <si>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</si>
  <si>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</si>
  <si>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</si>
  <si>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</si>
  <si>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</si>
  <si>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</si>
  <si>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</si>
  <si>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</si>
  <si>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</si>
  <si>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</si>
  <si>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</si>
  <si>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</si>
  <si>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</si>
  <si>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</si>
  <si>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</si>
  <si>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</si>
  <si>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</si>
  <si>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</si>
  <si>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</si>
  <si>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</si>
  <si>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</si>
  <si>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</si>
  <si>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</si>
  <si>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</si>
  <si>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</si>
  <si>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</si>
  <si>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</si>
  <si>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</si>
  <si>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</si>
  <si>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</si>
  <si>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</si>
  <si>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</si>
  <si>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</si>
  <si>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</si>
  <si>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</si>
  <si>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</si>
  <si>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</si>
  <si>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</si>
  <si>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</si>
  <si>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</si>
  <si>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</si>
  <si>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</si>
  <si>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</si>
  <si>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</si>
  <si>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</si>
  <si>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</si>
  <si>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</si>
  <si>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</si>
  <si>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</si>
  <si>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</si>
  <si>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</si>
  <si>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</si>
  <si>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</si>
  <si>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</si>
  <si>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</si>
  <si>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</si>
  <si>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</si>
  <si>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</si>
  <si>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</si>
  <si>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</si>
  <si>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</si>
  <si>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</si>
  <si>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</si>
  <si>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</si>
  <si>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</si>
  <si>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</si>
  <si>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</si>
  <si>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</si>
  <si>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</si>
  <si>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</si>
  <si>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</si>
  <si>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</si>
  <si>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</si>
  <si>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</si>
  <si>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</si>
  <si>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</si>
  <si>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</si>
  <si>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</si>
  <si>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</si>
  <si>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</si>
  <si>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</si>
  <si>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</si>
  <si>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</si>
  <si>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</si>
  <si>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</si>
  <si>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</si>
  <si>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</si>
  <si>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</si>
  <si>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</si>
  <si>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</si>
  <si>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</si>
  <si>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</si>
  <si>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</si>
  <si>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</si>
  <si>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</si>
  <si>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</si>
  <si>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</si>
  <si>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</si>
  <si>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</si>
  <si>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</si>
  <si>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</si>
  <si>
    <t>Cat9</t>
  </si>
  <si>
    <t>Fix1</t>
  </si>
  <si>
    <t>Fix2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</si>
</sst>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2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6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6" workbookViewId="0">
      <selection activeCell="E35" sqref="E35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23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18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10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10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7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W133"/>
  <sheetViews>
    <sheetView tabSelected="1" topLeftCell="A52" zoomScale="85" zoomScaleNormal="85" workbookViewId="0">
      <selection activeCell="L75" sqref="L75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5" width="5" customWidth="1"/>
    <col min="16" max="20" width="31.42578125" bestFit="1" customWidth="1"/>
    <col min="21" max="21" width="21" bestFit="1" customWidth="1"/>
    <col min="22" max="22" width="14.28515625" customWidth="1"/>
    <col min="23" max="23" width="13.140625" customWidth="1"/>
  </cols>
  <sheetData>
    <row r="1" spans="1:23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 t="s">
        <v>236</v>
      </c>
      <c r="L1" s="12"/>
      <c r="M1" s="12" t="s">
        <v>237</v>
      </c>
      <c r="N1" s="12" t="s">
        <v>238</v>
      </c>
      <c r="O1" s="12"/>
      <c r="P1" s="11" t="s">
        <v>214</v>
      </c>
      <c r="Q1" s="11" t="s">
        <v>215</v>
      </c>
      <c r="R1" s="11" t="s">
        <v>216</v>
      </c>
      <c r="S1" s="11" t="s">
        <v>217</v>
      </c>
      <c r="T1" s="11" t="s">
        <v>218</v>
      </c>
      <c r="U1" s="11" t="s">
        <v>219</v>
      </c>
      <c r="V1" s="11" t="s">
        <v>220</v>
      </c>
      <c r="W1" s="11" t="s">
        <v>221</v>
      </c>
    </row>
    <row r="2" spans="1:23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/>
      <c r="N2" s="12"/>
      <c r="O2" s="12"/>
      <c r="P2" s="12" t="str">
        <f>IFERROR(VLOOKUP(C2,categorieen!$D:$E,2,FALSE),"")</f>
        <v>Theater</v>
      </c>
      <c r="Q2" s="12" t="str">
        <f>IFERROR(VLOOKUP(D2,categorieen!$D:$E,2,FALSE),"")</f>
        <v>s Hertogenbosch (DB)</v>
      </c>
      <c r="R2" s="12" t="str">
        <f>IFERROR(VLOOKUP(E2,categorieen!$D:$E,2,FALSE),"")</f>
        <v>Plein</v>
      </c>
      <c r="S2" s="12" t="str">
        <f>IFERROR(VLOOKUP(F2,categorieen!$D:$E,2,FALSE),"")</f>
        <v>Festival</v>
      </c>
      <c r="T2" s="12" t="str">
        <f>IFERROR(VLOOKUP(G2,categorieen!$D:$E,2,FALSE),"")</f>
        <v/>
      </c>
      <c r="U2" s="12" t="str">
        <f>IFERROR(VLOOKUP(H2,categorieen!$D:$E,2,FALSE),"")</f>
        <v/>
      </c>
      <c r="V2" s="12" t="str">
        <f>IFERROR(VLOOKUP(I2,categorieen!$D:$E,2,FALSE),"")</f>
        <v/>
      </c>
      <c r="W2" s="12" t="str">
        <f>IFERROR(VLOOKUP(J2,categorieen!$D:$E,2,FALSE),"")</f>
        <v/>
      </c>
    </row>
    <row r="3" spans="1:23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>
        <v>26</v>
      </c>
      <c r="N3" s="12"/>
      <c r="O3" s="12"/>
      <c r="P3" s="12" t="str">
        <f>IFERROR(VLOOKUP(C3,categorieen!$D:$E,2,FALSE),"")</f>
        <v>Eindigt op el</v>
      </c>
      <c r="Q3" s="12" t="str">
        <f>IFERROR(VLOOKUP(D3,categorieen!$D:$E,2,FALSE),"")</f>
        <v>Kiosk</v>
      </c>
      <c r="R3" s="12" t="str">
        <f>IFERROR(VLOOKUP(E3,categorieen!$D:$E,2,FALSE),"")</f>
        <v>Kasteel</v>
      </c>
      <c r="S3" s="12" t="str">
        <f>IFERROR(VLOOKUP(F3,categorieen!$D:$E,2,FALSE),"")</f>
        <v/>
      </c>
      <c r="T3" s="12" t="str">
        <f>IFERROR(VLOOKUP(G3,categorieen!$D:$E,2,FALSE),"")</f>
        <v/>
      </c>
      <c r="U3" s="12" t="str">
        <f>IFERROR(VLOOKUP(H3,categorieen!$D:$E,2,FALSE),"")</f>
        <v/>
      </c>
      <c r="V3" s="12" t="str">
        <f>IFERROR(VLOOKUP(I3,categorieen!$D:$E,2,FALSE),"")</f>
        <v/>
      </c>
      <c r="W3" s="12" t="str">
        <f>IFERROR(VLOOKUP(J3,categorieen!$D:$E,2,FALSE),"")</f>
        <v/>
      </c>
    </row>
    <row r="4" spans="1:23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>
        <v>36</v>
      </c>
      <c r="N4" s="12"/>
      <c r="O4" s="12"/>
      <c r="P4" s="12" t="str">
        <f>IFERROR(VLOOKUP(C4,categorieen!$D:$E,2,FALSE),"")</f>
        <v>Getal/Cijfer</v>
      </c>
      <c r="Q4" s="12" t="str">
        <f>IFERROR(VLOOKUP(D4,categorieen!$D:$E,2,FALSE),"")</f>
        <v>040 (Eindhoven)</v>
      </c>
      <c r="R4" s="12" t="str">
        <f>IFERROR(VLOOKUP(E4,categorieen!$D:$E,2,FALSE),"")</f>
        <v>Plein</v>
      </c>
      <c r="S4" s="12" t="str">
        <f>IFERROR(VLOOKUP(F4,categorieen!$D:$E,2,FALSE),"")</f>
        <v>3x dezelfde letter</v>
      </c>
      <c r="T4" s="12" t="str">
        <f>IFERROR(VLOOKUP(G4,categorieen!$D:$E,2,FALSE),"")</f>
        <v/>
      </c>
      <c r="U4" s="12" t="str">
        <f>IFERROR(VLOOKUP(H4,categorieen!$D:$E,2,FALSE),"")</f>
        <v/>
      </c>
      <c r="V4" s="12" t="str">
        <f>IFERROR(VLOOKUP(I4,categorieen!$D:$E,2,FALSE),"")</f>
        <v/>
      </c>
      <c r="W4" s="12" t="str">
        <f>IFERROR(VLOOKUP(J4,categorieen!$D:$E,2,FALSE),"")</f>
        <v/>
      </c>
    </row>
    <row r="5" spans="1:23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 t="str">
        <f>IFERROR(VLOOKUP(C5,categorieen!$D:$E,2,FALSE),"")</f>
        <v>Bekende Brabanders</v>
      </c>
      <c r="Q5" s="12" t="str">
        <f>IFERROR(VLOOKUP(D5,categorieen!$D:$E,2,FALSE),"")</f>
        <v>040 (Eindhoven)</v>
      </c>
      <c r="R5" s="12" t="str">
        <f>IFERROR(VLOOKUP(E5,categorieen!$D:$E,2,FALSE),"")</f>
        <v/>
      </c>
      <c r="S5" s="12" t="str">
        <f>IFERROR(VLOOKUP(F5,categorieen!$D:$E,2,FALSE),"")</f>
        <v/>
      </c>
      <c r="T5" s="12" t="str">
        <f>IFERROR(VLOOKUP(G5,categorieen!$D:$E,2,FALSE),"")</f>
        <v/>
      </c>
      <c r="U5" s="12" t="str">
        <f>IFERROR(VLOOKUP(H5,categorieen!$D:$E,2,FALSE),"")</f>
        <v/>
      </c>
      <c r="V5" s="12" t="str">
        <f>IFERROR(VLOOKUP(I5,categorieen!$D:$E,2,FALSE),"")</f>
        <v/>
      </c>
      <c r="W5" s="12" t="str">
        <f>IFERROR(VLOOKUP(J5,categorieen!$D:$E,2,FALSE),"")</f>
        <v/>
      </c>
    </row>
    <row r="6" spans="1:23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 t="str">
        <f>IFERROR(VLOOKUP(C6,categorieen!$D:$E,2,FALSE),"")</f>
        <v>Buurtschap</v>
      </c>
      <c r="Q6" s="12" t="str">
        <f>IFERROR(VLOOKUP(D6,categorieen!$D:$E,2,FALSE),"")</f>
        <v>Dierlijk</v>
      </c>
      <c r="R6" s="12" t="str">
        <f>IFERROR(VLOOKUP(E6,categorieen!$D:$E,2,FALSE),"")</f>
        <v>Eten en Drinken (ED)</v>
      </c>
      <c r="S6" s="12" t="str">
        <f>IFERROR(VLOOKUP(F6,categorieen!$D:$E,2,FALSE),"")</f>
        <v/>
      </c>
      <c r="T6" s="12" t="str">
        <f>IFERROR(VLOOKUP(G6,categorieen!$D:$E,2,FALSE),"")</f>
        <v/>
      </c>
      <c r="U6" s="12" t="str">
        <f>IFERROR(VLOOKUP(H6,categorieen!$D:$E,2,FALSE),"")</f>
        <v/>
      </c>
      <c r="V6" s="12" t="str">
        <f>IFERROR(VLOOKUP(I6,categorieen!$D:$E,2,FALSE),"")</f>
        <v/>
      </c>
      <c r="W6" s="12" t="str">
        <f>IFERROR(VLOOKUP(J6,categorieen!$D:$E,2,FALSE),"")</f>
        <v/>
      </c>
    </row>
    <row r="7" spans="1:23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>
        <v>34</v>
      </c>
      <c r="N7" s="12"/>
      <c r="O7" s="12"/>
      <c r="P7" s="12" t="str">
        <f>IFERROR(VLOOKUP(C7,categorieen!$D:$E,2,FALSE),"")</f>
        <v>Met 4 Wieken</v>
      </c>
      <c r="Q7" s="12" t="str">
        <f>IFERROR(VLOOKUP(D7,categorieen!$D:$E,2,FALSE),"")</f>
        <v>(stand)beeld / (Rijks)monument</v>
      </c>
      <c r="R7" s="12" t="str">
        <f>IFERROR(VLOOKUP(E7,categorieen!$D:$E,2,FALSE),"")</f>
        <v>Met dubbel s</v>
      </c>
      <c r="S7" s="12" t="str">
        <f>IFERROR(VLOOKUP(F7,categorieen!$D:$E,2,FALSE),"")</f>
        <v>West Brabant</v>
      </c>
      <c r="T7" s="12" t="str">
        <f>IFERROR(VLOOKUP(G7,categorieen!$D:$E,2,FALSE),"")</f>
        <v/>
      </c>
      <c r="U7" s="12" t="str">
        <f>IFERROR(VLOOKUP(H7,categorieen!$D:$E,2,FALSE),"")</f>
        <v/>
      </c>
      <c r="V7" s="12" t="str">
        <f>IFERROR(VLOOKUP(I7,categorieen!$D:$E,2,FALSE),"")</f>
        <v/>
      </c>
      <c r="W7" s="12" t="str">
        <f>IFERROR(VLOOKUP(J7,categorieen!$D:$E,2,FALSE),"")</f>
        <v/>
      </c>
    </row>
    <row r="8" spans="1:23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/>
      <c r="N8" s="12"/>
      <c r="O8" s="12"/>
      <c r="P8" s="12" t="str">
        <f>IFERROR(VLOOKUP(C8,categorieen!$D:$E,2,FALSE),"")</f>
        <v>Getal/Cijfer</v>
      </c>
      <c r="Q8" s="12" t="str">
        <f>IFERROR(VLOOKUP(D8,categorieen!$D:$E,2,FALSE),"")</f>
        <v>s Hertogenbosch (DB)</v>
      </c>
      <c r="R8" s="12" t="str">
        <f>IFERROR(VLOOKUP(E8,categorieen!$D:$E,2,FALSE),"")</f>
        <v>040 (Eindhoven)</v>
      </c>
      <c r="S8" s="12" t="str">
        <f>IFERROR(VLOOKUP(F8,categorieen!$D:$E,2,FALSE),"")</f>
        <v>Vught</v>
      </c>
      <c r="T8" s="12" t="str">
        <f>IFERROR(VLOOKUP(G8,categorieen!$D:$E,2,FALSE),"")</f>
        <v/>
      </c>
      <c r="U8" s="12" t="str">
        <f>IFERROR(VLOOKUP(H8,categorieen!$D:$E,2,FALSE),"")</f>
        <v/>
      </c>
      <c r="V8" s="12" t="str">
        <f>IFERROR(VLOOKUP(I8,categorieen!$D:$E,2,FALSE),"")</f>
        <v/>
      </c>
      <c r="W8" s="12" t="str">
        <f>IFERROR(VLOOKUP(J8,categorieen!$D:$E,2,FALSE),"")</f>
        <v/>
      </c>
    </row>
    <row r="9" spans="1:23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/>
      <c r="N9" s="12"/>
      <c r="O9" s="12"/>
      <c r="P9" s="12" t="str">
        <f>IFERROR(VLOOKUP(C9,categorieen!$D:$E,2,FALSE),"")</f>
        <v>Begint met een B</v>
      </c>
      <c r="Q9" s="12" t="str">
        <f>IFERROR(VLOOKUP(D9,categorieen!$D:$E,2,FALSE),"")</f>
        <v>Typisch Brabants (TB)</v>
      </c>
      <c r="R9" s="12" t="str">
        <f>IFERROR(VLOOKUP(E9,categorieen!$D:$E,2,FALSE),"")</f>
        <v>Met B en B</v>
      </c>
      <c r="S9" s="12" t="str">
        <f>IFERROR(VLOOKUP(F9,categorieen!$D:$E,2,FALSE),"")</f>
        <v>Dierlijk</v>
      </c>
      <c r="T9" s="12" t="str">
        <f>IFERROR(VLOOKUP(G9,categorieen!$D:$E,2,FALSE),"")</f>
        <v>Eten en Drinken (ED)</v>
      </c>
      <c r="U9" s="12" t="str">
        <f>IFERROR(VLOOKUP(H9,categorieen!$D:$E,2,FALSE),"")</f>
        <v/>
      </c>
      <c r="V9" s="12" t="str">
        <f>IFERROR(VLOOKUP(I9,categorieen!$D:$E,2,FALSE),"")</f>
        <v/>
      </c>
      <c r="W9" s="12" t="str">
        <f>IFERROR(VLOOKUP(J9,categorieen!$D:$E,2,FALSE),"")</f>
        <v/>
      </c>
    </row>
    <row r="10" spans="1:23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 t="str">
        <f>IFERROR(VLOOKUP(C10,categorieen!$D:$E,2,FALSE),"")</f>
        <v>Begint met een B</v>
      </c>
      <c r="Q10" s="12" t="str">
        <f>IFERROR(VLOOKUP(D10,categorieen!$D:$E,2,FALSE),"")</f>
        <v>3 of 4 letters</v>
      </c>
      <c r="R10" s="12" t="str">
        <f>IFERROR(VLOOKUP(E10,categorieen!$D:$E,2,FALSE),"")</f>
        <v>In de volksmond (IDV)</v>
      </c>
      <c r="S10" s="12" t="str">
        <f>IFERROR(VLOOKUP(F10,categorieen!$D:$E,2,FALSE),"")</f>
        <v/>
      </c>
      <c r="T10" s="12" t="str">
        <f>IFERROR(VLOOKUP(G10,categorieen!$D:$E,2,FALSE),"")</f>
        <v/>
      </c>
      <c r="U10" s="12" t="str">
        <f>IFERROR(VLOOKUP(H10,categorieen!$D:$E,2,FALSE),"")</f>
        <v/>
      </c>
      <c r="V10" s="12" t="str">
        <f>IFERROR(VLOOKUP(I10,categorieen!$D:$E,2,FALSE),"")</f>
        <v/>
      </c>
      <c r="W10" s="12" t="str">
        <f>IFERROR(VLOOKUP(J10,categorieen!$D:$E,2,FALSE),"")</f>
        <v/>
      </c>
    </row>
    <row r="11" spans="1:23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 t="str">
        <f>IFERROR(VLOOKUP(C11,categorieen!$D:$E,2,FALSE),"")</f>
        <v>Tilburg</v>
      </c>
      <c r="Q11" s="12" t="str">
        <f>IFERROR(VLOOKUP(D11,categorieen!$D:$E,2,FALSE),"")</f>
        <v>Begint met een B</v>
      </c>
      <c r="R11" s="12" t="str">
        <f>IFERROR(VLOOKUP(E11,categorieen!$D:$E,2,FALSE),"")</f>
        <v/>
      </c>
      <c r="S11" s="12" t="str">
        <f>IFERROR(VLOOKUP(F11,categorieen!$D:$E,2,FALSE),"")</f>
        <v/>
      </c>
      <c r="T11" s="12" t="str">
        <f>IFERROR(VLOOKUP(G11,categorieen!$D:$E,2,FALSE),"")</f>
        <v/>
      </c>
      <c r="U11" s="12" t="str">
        <f>IFERROR(VLOOKUP(H11,categorieen!$D:$E,2,FALSE),"")</f>
        <v/>
      </c>
      <c r="V11" s="12" t="str">
        <f>IFERROR(VLOOKUP(I11,categorieen!$D:$E,2,FALSE),"")</f>
        <v/>
      </c>
      <c r="W11" s="12" t="str">
        <f>IFERROR(VLOOKUP(J11,categorieen!$D:$E,2,FALSE),"")</f>
        <v/>
      </c>
    </row>
    <row r="12" spans="1:23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/>
      <c r="N12" s="12"/>
      <c r="O12" s="12"/>
      <c r="P12" s="12" t="str">
        <f>IFERROR(VLOOKUP(C12,categorieen!$D:$E,2,FALSE),"")</f>
        <v>Met B en B</v>
      </c>
      <c r="Q12" s="12" t="str">
        <f>IFERROR(VLOOKUP(D12,categorieen!$D:$E,2,FALSE),"")</f>
        <v>Hilvarenbeek</v>
      </c>
      <c r="R12" s="12" t="str">
        <f>IFERROR(VLOOKUP(E12,categorieen!$D:$E,2,FALSE),"")</f>
        <v>Dierlijk</v>
      </c>
      <c r="S12" s="12" t="str">
        <f>IFERROR(VLOOKUP(F12,categorieen!$D:$E,2,FALSE),"")</f>
        <v>Festival</v>
      </c>
      <c r="T12" s="12" t="str">
        <f>IFERROR(VLOOKUP(G12,categorieen!$D:$E,2,FALSE),"")</f>
        <v/>
      </c>
      <c r="U12" s="12" t="str">
        <f>IFERROR(VLOOKUP(H12,categorieen!$D:$E,2,FALSE),"")</f>
        <v/>
      </c>
      <c r="V12" s="12" t="str">
        <f>IFERROR(VLOOKUP(I12,categorieen!$D:$E,2,FALSE),"")</f>
        <v/>
      </c>
      <c r="W12" s="12" t="str">
        <f>IFERROR(VLOOKUP(J12,categorieen!$D:$E,2,FALSE),"")</f>
        <v/>
      </c>
    </row>
    <row r="13" spans="1:23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/>
      <c r="N13" s="12"/>
      <c r="O13" s="12"/>
      <c r="P13" s="12" t="str">
        <f>IFERROR(VLOOKUP(C13,categorieen!$D:$E,2,FALSE),"")</f>
        <v>Water</v>
      </c>
      <c r="Q13" s="12" t="str">
        <f>IFERROR(VLOOKUP(D13,categorieen!$D:$E,2,FALSE),"")</f>
        <v>Begint met een B</v>
      </c>
      <c r="R13" s="12" t="str">
        <f>IFERROR(VLOOKUP(E13,categorieen!$D:$E,2,FALSE),"")</f>
        <v>Natuur</v>
      </c>
      <c r="S13" s="12" t="str">
        <f>IFERROR(VLOOKUP(F13,categorieen!$D:$E,2,FALSE),"")</f>
        <v>Zes letters</v>
      </c>
      <c r="T13" s="12" t="str">
        <f>IFERROR(VLOOKUP(G13,categorieen!$D:$E,2,FALSE),"")</f>
        <v>Eten en Drinken (ED)</v>
      </c>
      <c r="U13" s="12" t="str">
        <f>IFERROR(VLOOKUP(H13,categorieen!$D:$E,2,FALSE),"")</f>
        <v>3x dezelfde letter</v>
      </c>
      <c r="V13" s="12" t="str">
        <f>IFERROR(VLOOKUP(I13,categorieen!$D:$E,2,FALSE),"")</f>
        <v/>
      </c>
      <c r="W13" s="12" t="str">
        <f>IFERROR(VLOOKUP(J13,categorieen!$D:$E,2,FALSE),"")</f>
        <v/>
      </c>
    </row>
    <row r="14" spans="1:23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/>
      <c r="N14" s="12"/>
      <c r="O14" s="12"/>
      <c r="P14" s="12" t="str">
        <f>IFERROR(VLOOKUP(C14,categorieen!$D:$E,2,FALSE),"")</f>
        <v>Begint met een B</v>
      </c>
      <c r="Q14" s="12" t="str">
        <f>IFERROR(VLOOKUP(D14,categorieen!$D:$E,2,FALSE),"")</f>
        <v>Zes letters</v>
      </c>
      <c r="R14" s="12" t="str">
        <f>IFERROR(VLOOKUP(E14,categorieen!$D:$E,2,FALSE),"")</f>
        <v>In de volksmond (IDV)</v>
      </c>
      <c r="S14" s="12" t="str">
        <f>IFERROR(VLOOKUP(F14,categorieen!$D:$E,2,FALSE),"")</f>
        <v>Typisch Brabants (TB)</v>
      </c>
      <c r="T14" s="12" t="str">
        <f>IFERROR(VLOOKUP(G14,categorieen!$D:$E,2,FALSE),"")</f>
        <v/>
      </c>
      <c r="U14" s="12" t="str">
        <f>IFERROR(VLOOKUP(H14,categorieen!$D:$E,2,FALSE),"")</f>
        <v/>
      </c>
      <c r="V14" s="12" t="str">
        <f>IFERROR(VLOOKUP(I14,categorieen!$D:$E,2,FALSE),"")</f>
        <v/>
      </c>
      <c r="W14" s="12" t="str">
        <f>IFERROR(VLOOKUP(J14,categorieen!$D:$E,2,FALSE),"")</f>
        <v/>
      </c>
    </row>
    <row r="15" spans="1:23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/>
      <c r="N15" s="12"/>
      <c r="O15" s="12"/>
      <c r="P15" s="12" t="str">
        <f>IFERROR(VLOOKUP(C15,categorieen!$D:$E,2,FALSE),"")</f>
        <v>West Brabant</v>
      </c>
      <c r="Q15" s="12" t="str">
        <f>IFERROR(VLOOKUP(D15,categorieen!$D:$E,2,FALSE),"")</f>
        <v>Begint met een B</v>
      </c>
      <c r="R15" s="12" t="str">
        <f>IFERROR(VLOOKUP(E15,categorieen!$D:$E,2,FALSE),"")</f>
        <v>3x dezelfde letter</v>
      </c>
      <c r="S15" s="12" t="str">
        <f>IFERROR(VLOOKUP(F15,categorieen!$D:$E,2,FALSE),"")</f>
        <v>Water</v>
      </c>
      <c r="T15" s="12" t="str">
        <f>IFERROR(VLOOKUP(G15,categorieen!$D:$E,2,FALSE),"")</f>
        <v/>
      </c>
      <c r="U15" s="12" t="str">
        <f>IFERROR(VLOOKUP(H15,categorieen!$D:$E,2,FALSE),"")</f>
        <v/>
      </c>
      <c r="V15" s="12" t="str">
        <f>IFERROR(VLOOKUP(I15,categorieen!$D:$E,2,FALSE),"")</f>
        <v/>
      </c>
      <c r="W15" s="12" t="str">
        <f>IFERROR(VLOOKUP(J15,categorieen!$D:$E,2,FALSE),"")</f>
        <v/>
      </c>
    </row>
    <row r="16" spans="1:23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 t="str">
        <f>IFERROR(VLOOKUP(C16,categorieen!$D:$E,2,FALSE),"")</f>
        <v>Begint met een B</v>
      </c>
      <c r="Q16" s="12" t="str">
        <f>IFERROR(VLOOKUP(D16,categorieen!$D:$E,2,FALSE),"")</f>
        <v>Water</v>
      </c>
      <c r="R16" s="12" t="str">
        <f>IFERROR(VLOOKUP(E16,categorieen!$D:$E,2,FALSE),"")</f>
        <v/>
      </c>
      <c r="S16" s="12" t="str">
        <f>IFERROR(VLOOKUP(F16,categorieen!$D:$E,2,FALSE),"")</f>
        <v/>
      </c>
      <c r="T16" s="12" t="str">
        <f>IFERROR(VLOOKUP(G16,categorieen!$D:$E,2,FALSE),"")</f>
        <v/>
      </c>
      <c r="U16" s="12" t="str">
        <f>IFERROR(VLOOKUP(H16,categorieen!$D:$E,2,FALSE),"")</f>
        <v/>
      </c>
      <c r="V16" s="12" t="str">
        <f>IFERROR(VLOOKUP(I16,categorieen!$D:$E,2,FALSE),"")</f>
        <v/>
      </c>
      <c r="W16" s="12" t="str">
        <f>IFERROR(VLOOKUP(J16,categorieen!$D:$E,2,FALSE),"")</f>
        <v/>
      </c>
    </row>
    <row r="17" spans="1:23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30</v>
      </c>
      <c r="I17" s="12"/>
      <c r="J17" s="12"/>
      <c r="K17" s="12"/>
      <c r="L17" s="12"/>
      <c r="M17" s="12"/>
      <c r="N17" s="12"/>
      <c r="O17" s="12"/>
      <c r="P17" s="12" t="str">
        <f>IFERROR(VLOOKUP(C17,categorieen!$D:$E,2,FALSE),"")</f>
        <v>3 of 4 letters</v>
      </c>
      <c r="Q17" s="12" t="str">
        <f>IFERROR(VLOOKUP(D17,categorieen!$D:$E,2,FALSE),"")</f>
        <v>Begint met een B</v>
      </c>
      <c r="R17" s="12" t="str">
        <f>IFERROR(VLOOKUP(E17,categorieen!$D:$E,2,FALSE),"")</f>
        <v>Eerste- en Eindletter hetzelfde</v>
      </c>
      <c r="S17" s="12" t="str">
        <f>IFERROR(VLOOKUP(F17,categorieen!$D:$E,2,FALSE),"")</f>
        <v>Met ie</v>
      </c>
      <c r="T17" s="12" t="str">
        <f>IFERROR(VLOOKUP(G17,categorieen!$D:$E,2,FALSE),"")</f>
        <v>Met B en B</v>
      </c>
      <c r="U17" s="12" t="str">
        <f>IFERROR(VLOOKUP(H17,categorieen!$D:$E,2,FALSE),"")</f>
        <v>In de volksmond (IDV)</v>
      </c>
      <c r="V17" s="12" t="str">
        <f>IFERROR(VLOOKUP(I17,categorieen!$D:$E,2,FALSE),"")</f>
        <v/>
      </c>
      <c r="W17" s="12" t="str">
        <f>IFERROR(VLOOKUP(J17,categorieen!$D:$E,2,FALSE),"")</f>
        <v/>
      </c>
    </row>
    <row r="18" spans="1:23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/>
      <c r="N18" s="12"/>
      <c r="O18" s="12"/>
      <c r="P18" s="12" t="str">
        <f>IFERROR(VLOOKUP(C18,categorieen!$D:$E,2,FALSE),"")</f>
        <v>Met ie</v>
      </c>
      <c r="Q18" s="12" t="str">
        <f>IFERROR(VLOOKUP(D18,categorieen!$D:$E,2,FALSE),"")</f>
        <v>Hilvarenbeek</v>
      </c>
      <c r="R18" s="12" t="str">
        <f>IFERROR(VLOOKUP(E18,categorieen!$D:$E,2,FALSE),"")</f>
        <v>Begint met een B</v>
      </c>
      <c r="S18" s="12" t="str">
        <f>IFERROR(VLOOKUP(F18,categorieen!$D:$E,2,FALSE),"")</f>
        <v>Eten en Drinken (ED)</v>
      </c>
      <c r="T18" s="12" t="str">
        <f>IFERROR(VLOOKUP(G18,categorieen!$D:$E,2,FALSE),"")</f>
        <v>3x dezelfde letter</v>
      </c>
      <c r="U18" s="12" t="str">
        <f>IFERROR(VLOOKUP(H18,categorieen!$D:$E,2,FALSE),"")</f>
        <v>Typisch Brabants (TB)</v>
      </c>
      <c r="V18" s="12" t="str">
        <f>IFERROR(VLOOKUP(I18,categorieen!$D:$E,2,FALSE),"")</f>
        <v>Met B en B</v>
      </c>
      <c r="W18" s="12" t="str">
        <f>IFERROR(VLOOKUP(J18,categorieen!$D:$E,2,FALSE),"")</f>
        <v/>
      </c>
    </row>
    <row r="19" spans="1:23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 t="str">
        <f>IFERROR(VLOOKUP(C19,categorieen!$D:$E,2,FALSE),"")</f>
        <v>Met B en B</v>
      </c>
      <c r="Q19" s="12" t="str">
        <f>IFERROR(VLOOKUP(D19,categorieen!$D:$E,2,FALSE),"")</f>
        <v>Natuur</v>
      </c>
      <c r="R19" s="12" t="str">
        <f>IFERROR(VLOOKUP(E19,categorieen!$D:$E,2,FALSE),"")</f>
        <v/>
      </c>
      <c r="S19" s="12" t="str">
        <f>IFERROR(VLOOKUP(F19,categorieen!$D:$E,2,FALSE),"")</f>
        <v/>
      </c>
      <c r="T19" s="12" t="str">
        <f>IFERROR(VLOOKUP(G19,categorieen!$D:$E,2,FALSE),"")</f>
        <v/>
      </c>
      <c r="U19" s="12" t="str">
        <f>IFERROR(VLOOKUP(H19,categorieen!$D:$E,2,FALSE),"")</f>
        <v/>
      </c>
      <c r="V19" s="12" t="str">
        <f>IFERROR(VLOOKUP(I19,categorieen!$D:$E,2,FALSE),"")</f>
        <v/>
      </c>
      <c r="W19" s="12" t="str">
        <f>IFERROR(VLOOKUP(J19,categorieen!$D:$E,2,FALSE),"")</f>
        <v/>
      </c>
    </row>
    <row r="20" spans="1:23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/>
      <c r="N20" s="12"/>
      <c r="O20" s="12"/>
      <c r="P20" s="12" t="str">
        <f>IFERROR(VLOOKUP(C20,categorieen!$D:$E,2,FALSE),"")</f>
        <v>Met B en B</v>
      </c>
      <c r="Q20" s="12" t="str">
        <f>IFERROR(VLOOKUP(D20,categorieen!$D:$E,2,FALSE),"")</f>
        <v>Sport</v>
      </c>
      <c r="R20" s="12" t="str">
        <f>IFERROR(VLOOKUP(E20,categorieen!$D:$E,2,FALSE),"")</f>
        <v>Begint met een B</v>
      </c>
      <c r="S20" s="12" t="str">
        <f>IFERROR(VLOOKUP(F20,categorieen!$D:$E,2,FALSE),"")</f>
        <v>Met ie</v>
      </c>
      <c r="T20" s="12" t="str">
        <f>IFERROR(VLOOKUP(G20,categorieen!$D:$E,2,FALSE),"")</f>
        <v>Hilvarenbeek</v>
      </c>
      <c r="U20" s="12" t="str">
        <f>IFERROR(VLOOKUP(H20,categorieen!$D:$E,2,FALSE),"")</f>
        <v>3x dezelfde letter</v>
      </c>
      <c r="V20" s="12" t="str">
        <f>IFERROR(VLOOKUP(I20,categorieen!$D:$E,2,FALSE),"")</f>
        <v/>
      </c>
      <c r="W20" s="12" t="str">
        <f>IFERROR(VLOOKUP(J20,categorieen!$D:$E,2,FALSE),"")</f>
        <v/>
      </c>
    </row>
    <row r="21" spans="1:23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/>
      <c r="N21" s="12"/>
      <c r="O21" s="12"/>
      <c r="P21" s="12" t="str">
        <f>IFERROR(VLOOKUP(C21,categorieen!$D:$E,2,FALSE),"")</f>
        <v>Begint met een B</v>
      </c>
      <c r="Q21" s="12" t="str">
        <f>IFERROR(VLOOKUP(D21,categorieen!$D:$E,2,FALSE),"")</f>
        <v>Water</v>
      </c>
      <c r="R21" s="12" t="str">
        <f>IFERROR(VLOOKUP(E21,categorieen!$D:$E,2,FALSE),"")</f>
        <v>Met ie</v>
      </c>
      <c r="S21" s="12" t="str">
        <f>IFERROR(VLOOKUP(F21,categorieen!$D:$E,2,FALSE),"")</f>
        <v>s Hertogenbosch (DB)</v>
      </c>
      <c r="T21" s="12" t="str">
        <f>IFERROR(VLOOKUP(G21,categorieen!$D:$E,2,FALSE),"")</f>
        <v/>
      </c>
      <c r="U21" s="12" t="str">
        <f>IFERROR(VLOOKUP(H21,categorieen!$D:$E,2,FALSE),"")</f>
        <v/>
      </c>
      <c r="V21" s="12" t="str">
        <f>IFERROR(VLOOKUP(I21,categorieen!$D:$E,2,FALSE),"")</f>
        <v/>
      </c>
      <c r="W21" s="12" t="str">
        <f>IFERROR(VLOOKUP(J21,categorieen!$D:$E,2,FALSE),"")</f>
        <v/>
      </c>
    </row>
    <row r="22" spans="1:23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/>
      <c r="N22" s="12"/>
      <c r="O22" s="12"/>
      <c r="P22" s="12" t="str">
        <f>IFERROR(VLOOKUP(C22,categorieen!$D:$E,2,FALSE),"")</f>
        <v>Begint met een B</v>
      </c>
      <c r="Q22" s="12" t="str">
        <f>IFERROR(VLOOKUP(D22,categorieen!$D:$E,2,FALSE),"")</f>
        <v>Zes letters</v>
      </c>
      <c r="R22" s="12" t="str">
        <f>IFERROR(VLOOKUP(E22,categorieen!$D:$E,2,FALSE),"")</f>
        <v>s Hertogenbosch (DB)</v>
      </c>
      <c r="S22" s="12" t="str">
        <f>IFERROR(VLOOKUP(F22,categorieen!$D:$E,2,FALSE),"")</f>
        <v>Sport</v>
      </c>
      <c r="T22" s="12" t="str">
        <f>IFERROR(VLOOKUP(G22,categorieen!$D:$E,2,FALSE),"")</f>
        <v>Tilburg</v>
      </c>
      <c r="U22" s="12" t="str">
        <f>IFERROR(VLOOKUP(H22,categorieen!$D:$E,2,FALSE),"")</f>
        <v>Water</v>
      </c>
      <c r="V22" s="12" t="str">
        <f>IFERROR(VLOOKUP(I22,categorieen!$D:$E,2,FALSE),"")</f>
        <v>(stand)beeld / (Rijks)monument</v>
      </c>
      <c r="W22" s="12" t="str">
        <f>IFERROR(VLOOKUP(J22,categorieen!$D:$E,2,FALSE),"")</f>
        <v/>
      </c>
    </row>
    <row r="23" spans="1:23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/>
      <c r="I23" s="12"/>
      <c r="J23" s="12"/>
      <c r="K23" s="12"/>
      <c r="L23" s="12"/>
      <c r="M23" s="12"/>
      <c r="N23" s="12"/>
      <c r="O23" s="12"/>
      <c r="P23" s="12" t="str">
        <f>IFERROR(VLOOKUP(C23,categorieen!$D:$E,2,FALSE),"")</f>
        <v>3x dezelfde letter</v>
      </c>
      <c r="Q23" s="12" t="str">
        <f>IFERROR(VLOOKUP(D23,categorieen!$D:$E,2,FALSE),"")</f>
        <v>(stand)beeld / (Rijks)monument</v>
      </c>
      <c r="R23" s="12" t="str">
        <f>IFERROR(VLOOKUP(E23,categorieen!$D:$E,2,FALSE),"")</f>
        <v>Begint met een B</v>
      </c>
      <c r="S23" s="12" t="str">
        <f>IFERROR(VLOOKUP(F23,categorieen!$D:$E,2,FALSE),"")</f>
        <v>Met dubbel s</v>
      </c>
      <c r="T23" s="12" t="str">
        <f>IFERROR(VLOOKUP(G23,categorieen!$D:$E,2,FALSE),"")</f>
        <v>Hilvarenbeek</v>
      </c>
      <c r="U23" s="12" t="str">
        <f>IFERROR(VLOOKUP(H23,categorieen!$D:$E,2,FALSE),"")</f>
        <v/>
      </c>
      <c r="V23" s="12" t="str">
        <f>IFERROR(VLOOKUP(I23,categorieen!$D:$E,2,FALSE),"")</f>
        <v/>
      </c>
      <c r="W23" s="12" t="str">
        <f>IFERROR(VLOOKUP(J23,categorieen!$D:$E,2,FALSE),"")</f>
        <v/>
      </c>
    </row>
    <row r="24" spans="1:23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/>
      <c r="N24" s="12"/>
      <c r="O24" s="12"/>
      <c r="P24" s="12" t="str">
        <f>IFERROR(VLOOKUP(C24,categorieen!$D:$E,2,FALSE),"")</f>
        <v>Met B en B</v>
      </c>
      <c r="Q24" s="12" t="str">
        <f>IFERROR(VLOOKUP(D24,categorieen!$D:$E,2,FALSE),"")</f>
        <v>Begint met een B</v>
      </c>
      <c r="R24" s="12" t="str">
        <f>IFERROR(VLOOKUP(E24,categorieen!$D:$E,2,FALSE),"")</f>
        <v>Natuur</v>
      </c>
      <c r="S24" s="12" t="str">
        <f>IFERROR(VLOOKUP(F24,categorieen!$D:$E,2,FALSE),"")</f>
        <v>s Hertogenbosch (DB)</v>
      </c>
      <c r="T24" s="12" t="str">
        <f>IFERROR(VLOOKUP(G24,categorieen!$D:$E,2,FALSE),"")</f>
        <v>Water</v>
      </c>
      <c r="U24" s="12" t="str">
        <f>IFERROR(VLOOKUP(H24,categorieen!$D:$E,2,FALSE),"")</f>
        <v/>
      </c>
      <c r="V24" s="12" t="str">
        <f>IFERROR(VLOOKUP(I24,categorieen!$D:$E,2,FALSE),"")</f>
        <v/>
      </c>
      <c r="W24" s="12" t="str">
        <f>IFERROR(VLOOKUP(J24,categorieen!$D:$E,2,FALSE),"")</f>
        <v/>
      </c>
    </row>
    <row r="25" spans="1:23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/>
      <c r="N25" s="12"/>
      <c r="O25" s="12"/>
      <c r="P25" s="12" t="str">
        <f>IFERROR(VLOOKUP(C25,categorieen!$D:$E,2,FALSE),"")</f>
        <v>Kasteel</v>
      </c>
      <c r="Q25" s="12" t="str">
        <f>IFERROR(VLOOKUP(D25,categorieen!$D:$E,2,FALSE),"")</f>
        <v>Begint met een B</v>
      </c>
      <c r="R25" s="12" t="str">
        <f>IFERROR(VLOOKUP(E25,categorieen!$D:$E,2,FALSE),"")</f>
        <v>Natuur</v>
      </c>
      <c r="S25" s="12" t="str">
        <f>IFERROR(VLOOKUP(F25,categorieen!$D:$E,2,FALSE),"")</f>
        <v>076 (Breda)</v>
      </c>
      <c r="T25" s="12" t="str">
        <f>IFERROR(VLOOKUP(G25,categorieen!$D:$E,2,FALSE),"")</f>
        <v>(stand)beeld / (Rijks)monument</v>
      </c>
      <c r="U25" s="12" t="str">
        <f>IFERROR(VLOOKUP(H25,categorieen!$D:$E,2,FALSE),"")</f>
        <v>Eten en Drinken (ED)</v>
      </c>
      <c r="V25" s="12" t="str">
        <f>IFERROR(VLOOKUP(I25,categorieen!$D:$E,2,FALSE),"")</f>
        <v/>
      </c>
      <c r="W25" s="12" t="str">
        <f>IFERROR(VLOOKUP(J25,categorieen!$D:$E,2,FALSE),"")</f>
        <v/>
      </c>
    </row>
    <row r="26" spans="1:23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/>
      <c r="N26" s="12"/>
      <c r="O26" s="12"/>
      <c r="P26" s="12" t="str">
        <f>IFERROR(VLOOKUP(C26,categorieen!$D:$E,2,FALSE),"")</f>
        <v>Met B en B</v>
      </c>
      <c r="Q26" s="12" t="str">
        <f>IFERROR(VLOOKUP(D26,categorieen!$D:$E,2,FALSE),"")</f>
        <v>Bekende Brabanders</v>
      </c>
      <c r="R26" s="12" t="str">
        <f>IFERROR(VLOOKUP(E26,categorieen!$D:$E,2,FALSE),"")</f>
        <v>Tilburg</v>
      </c>
      <c r="S26" s="12" t="str">
        <f>IFERROR(VLOOKUP(F26,categorieen!$D:$E,2,FALSE),"")</f>
        <v>Sport</v>
      </c>
      <c r="T26" s="12" t="str">
        <f>IFERROR(VLOOKUP(G26,categorieen!$D:$E,2,FALSE),"")</f>
        <v>Willem II</v>
      </c>
      <c r="U26" s="12" t="str">
        <f>IFERROR(VLOOKUP(H26,categorieen!$D:$E,2,FALSE),"")</f>
        <v>Begint met een B</v>
      </c>
      <c r="V26" s="12" t="str">
        <f>IFERROR(VLOOKUP(I26,categorieen!$D:$E,2,FALSE),"")</f>
        <v>3x dezelfde letter</v>
      </c>
      <c r="W26" s="12" t="str">
        <f>IFERROR(VLOOKUP(J26,categorieen!$D:$E,2,FALSE),"")</f>
        <v/>
      </c>
    </row>
    <row r="27" spans="1:23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>
        <v>3</v>
      </c>
      <c r="N27" s="12">
        <v>11</v>
      </c>
      <c r="O27" s="12"/>
      <c r="P27" s="12" t="str">
        <f>IFERROR(VLOOKUP(C27,categorieen!$D:$E,2,FALSE),"")</f>
        <v>040 (Eindhoven)</v>
      </c>
      <c r="Q27" s="12" t="str">
        <f>IFERROR(VLOOKUP(D27,categorieen!$D:$E,2,FALSE),"")</f>
        <v>Begint met een B</v>
      </c>
      <c r="R27" s="12" t="str">
        <f>IFERROR(VLOOKUP(E27,categorieen!$D:$E,2,FALSE),"")</f>
        <v>Kasteel</v>
      </c>
      <c r="S27" s="12" t="str">
        <f>IFERROR(VLOOKUP(F27,categorieen!$D:$E,2,FALSE),"")</f>
        <v>Tilburg</v>
      </c>
      <c r="T27" s="12" t="str">
        <f>IFERROR(VLOOKUP(G27,categorieen!$D:$E,2,FALSE),"")</f>
        <v/>
      </c>
      <c r="U27" s="12" t="str">
        <f>IFERROR(VLOOKUP(H27,categorieen!$D:$E,2,FALSE),"")</f>
        <v/>
      </c>
      <c r="V27" s="12" t="str">
        <f>IFERROR(VLOOKUP(I27,categorieen!$D:$E,2,FALSE),"")</f>
        <v/>
      </c>
      <c r="W27" s="12" t="str">
        <f>IFERROR(VLOOKUP(J27,categorieen!$D:$E,2,FALSE),"")</f>
        <v/>
      </c>
    </row>
    <row r="28" spans="1:23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/>
      <c r="N28" s="12"/>
      <c r="O28" s="12"/>
      <c r="P28" s="12" t="str">
        <f>IFERROR(VLOOKUP(C28,categorieen!$D:$E,2,FALSE),"")</f>
        <v>Met B en B</v>
      </c>
      <c r="Q28" s="12" t="str">
        <f>IFERROR(VLOOKUP(D28,categorieen!$D:$E,2,FALSE),"")</f>
        <v>Bekende Brabanders</v>
      </c>
      <c r="R28" s="12" t="str">
        <f>IFERROR(VLOOKUP(E28,categorieen!$D:$E,2,FALSE),"")</f>
        <v>Tilburg</v>
      </c>
      <c r="S28" s="12" t="str">
        <f>IFERROR(VLOOKUP(F28,categorieen!$D:$E,2,FALSE),"")</f>
        <v>Sport</v>
      </c>
      <c r="T28" s="12" t="str">
        <f>IFERROR(VLOOKUP(G28,categorieen!$D:$E,2,FALSE),"")</f>
        <v>Willem II</v>
      </c>
      <c r="U28" s="12" t="str">
        <f>IFERROR(VLOOKUP(H28,categorieen!$D:$E,2,FALSE),"")</f>
        <v>Begint met een B</v>
      </c>
      <c r="V28" s="12" t="str">
        <f>IFERROR(VLOOKUP(I28,categorieen!$D:$E,2,FALSE),"")</f>
        <v/>
      </c>
      <c r="W28" s="12" t="str">
        <f>IFERROR(VLOOKUP(J28,categorieen!$D:$E,2,FALSE),"")</f>
        <v/>
      </c>
    </row>
    <row r="29" spans="1:23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>
        <v>32</v>
      </c>
      <c r="N29" s="12"/>
      <c r="O29" s="12"/>
      <c r="P29" s="12" t="str">
        <f>IFERROR(VLOOKUP(C29,categorieen!$D:$E,2,FALSE),"")</f>
        <v>Met ie</v>
      </c>
      <c r="Q29" s="12" t="str">
        <f>IFERROR(VLOOKUP(D29,categorieen!$D:$E,2,FALSE),"")</f>
        <v>Natuur</v>
      </c>
      <c r="R29" s="12" t="str">
        <f>IFERROR(VLOOKUP(E29,categorieen!$D:$E,2,FALSE),"")</f>
        <v>Water</v>
      </c>
      <c r="S29" s="12" t="str">
        <f>IFERROR(VLOOKUP(F29,categorieen!$D:$E,2,FALSE),"")</f>
        <v>3x dezelfde letter</v>
      </c>
      <c r="T29" s="12" t="str">
        <f>IFERROR(VLOOKUP(G29,categorieen!$D:$E,2,FALSE),"")</f>
        <v/>
      </c>
      <c r="U29" s="12" t="str">
        <f>IFERROR(VLOOKUP(H29,categorieen!$D:$E,2,FALSE),"")</f>
        <v/>
      </c>
      <c r="V29" s="12" t="str">
        <f>IFERROR(VLOOKUP(I29,categorieen!$D:$E,2,FALSE),"")</f>
        <v/>
      </c>
      <c r="W29" s="12" t="str">
        <f>IFERROR(VLOOKUP(J29,categorieen!$D:$E,2,FALSE),"")</f>
        <v/>
      </c>
    </row>
    <row r="30" spans="1:23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/>
      <c r="N30" s="12"/>
      <c r="O30" s="12"/>
      <c r="P30" s="12" t="str">
        <f>IFERROR(VLOOKUP(C30,categorieen!$D:$E,2,FALSE),"")</f>
        <v>Theater</v>
      </c>
      <c r="Q30" s="12" t="str">
        <f>IFERROR(VLOOKUP(D30,categorieen!$D:$E,2,FALSE),"")</f>
        <v>076 (Breda)</v>
      </c>
      <c r="R30" s="12" t="str">
        <f>IFERROR(VLOOKUP(E30,categorieen!$D:$E,2,FALSE),"")</f>
        <v>Zes letters</v>
      </c>
      <c r="S30" s="12" t="str">
        <f>IFERROR(VLOOKUP(F30,categorieen!$D:$E,2,FALSE),"")</f>
        <v>Bekende Brabanders</v>
      </c>
      <c r="T30" s="12" t="str">
        <f>IFERROR(VLOOKUP(G30,categorieen!$D:$E,2,FALSE),"")</f>
        <v>Met dubbel s</v>
      </c>
      <c r="U30" s="12" t="str">
        <f>IFERROR(VLOOKUP(H30,categorieen!$D:$E,2,FALSE),"")</f>
        <v>(stand)beeld / (Rijks)monument</v>
      </c>
      <c r="V30" s="12" t="str">
        <f>IFERROR(VLOOKUP(I30,categorieen!$D:$E,2,FALSE),"")</f>
        <v/>
      </c>
      <c r="W30" s="12" t="str">
        <f>IFERROR(VLOOKUP(J30,categorieen!$D:$E,2,FALSE),"")</f>
        <v/>
      </c>
    </row>
    <row r="31" spans="1:23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/>
      <c r="N31" s="12"/>
      <c r="O31" s="12"/>
      <c r="P31" s="12" t="str">
        <f>IFERROR(VLOOKUP(C31,categorieen!$D:$E,2,FALSE),"")</f>
        <v>3x dezelfde letter</v>
      </c>
      <c r="Q31" s="12" t="str">
        <f>IFERROR(VLOOKUP(D31,categorieen!$D:$E,2,FALSE),"")</f>
        <v>Kasteel</v>
      </c>
      <c r="R31" s="12" t="str">
        <f>IFERROR(VLOOKUP(E31,categorieen!$D:$E,2,FALSE),"")</f>
        <v>Begint met een B</v>
      </c>
      <c r="S31" s="12" t="str">
        <f>IFERROR(VLOOKUP(F31,categorieen!$D:$E,2,FALSE),"")</f>
        <v>(stand)beeld / (Rijks)monument</v>
      </c>
      <c r="T31" s="12" t="str">
        <f>IFERROR(VLOOKUP(G31,categorieen!$D:$E,2,FALSE),"")</f>
        <v>Kleurrijk</v>
      </c>
      <c r="U31" s="12" t="str">
        <f>IFERROR(VLOOKUP(H31,categorieen!$D:$E,2,FALSE),"")</f>
        <v/>
      </c>
      <c r="V31" s="12" t="str">
        <f>IFERROR(VLOOKUP(I31,categorieen!$D:$E,2,FALSE),"")</f>
        <v/>
      </c>
      <c r="W31" s="12" t="str">
        <f>IFERROR(VLOOKUP(J31,categorieen!$D:$E,2,FALSE),"")</f>
        <v/>
      </c>
    </row>
    <row r="32" spans="1:23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/>
      <c r="N32" s="12"/>
      <c r="O32" s="12"/>
      <c r="P32" s="12" t="str">
        <f>IFERROR(VLOOKUP(C32,categorieen!$D:$E,2,FALSE),"")</f>
        <v>3x dezelfde letter</v>
      </c>
      <c r="Q32" s="12" t="str">
        <f>IFERROR(VLOOKUP(D32,categorieen!$D:$E,2,FALSE),"")</f>
        <v>Eerste- en Eindletter hetzelfde</v>
      </c>
      <c r="R32" s="12" t="str">
        <f>IFERROR(VLOOKUP(E32,categorieen!$D:$E,2,FALSE),"")</f>
        <v>7 letters</v>
      </c>
      <c r="S32" s="12" t="str">
        <f>IFERROR(VLOOKUP(F32,categorieen!$D:$E,2,FALSE),"")</f>
        <v>Eten en Drinken (ED)</v>
      </c>
      <c r="T32" s="12" t="str">
        <f>IFERROR(VLOOKUP(G32,categorieen!$D:$E,2,FALSE),"")</f>
        <v>Begint met een B</v>
      </c>
      <c r="U32" s="12" t="str">
        <f>IFERROR(VLOOKUP(H32,categorieen!$D:$E,2,FALSE),"")</f>
        <v/>
      </c>
      <c r="V32" s="12" t="str">
        <f>IFERROR(VLOOKUP(I32,categorieen!$D:$E,2,FALSE),"")</f>
        <v/>
      </c>
      <c r="W32" s="12" t="str">
        <f>IFERROR(VLOOKUP(J32,categorieen!$D:$E,2,FALSE),"")</f>
        <v/>
      </c>
    </row>
    <row r="33" spans="1:23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>
        <v>33</v>
      </c>
      <c r="N33" s="12"/>
      <c r="O33" s="12"/>
      <c r="P33" s="12" t="str">
        <f>IFERROR(VLOOKUP(C33,categorieen!$D:$E,2,FALSE),"")</f>
        <v>076 (Breda)</v>
      </c>
      <c r="Q33" s="12" t="str">
        <f>IFERROR(VLOOKUP(D33,categorieen!$D:$E,2,FALSE),"")</f>
        <v>Getal/Cijfer</v>
      </c>
      <c r="R33" s="12" t="str">
        <f>IFERROR(VLOOKUP(E33,categorieen!$D:$E,2,FALSE),"")</f>
        <v>Zes letters</v>
      </c>
      <c r="S33" s="12" t="str">
        <f>IFERROR(VLOOKUP(F33,categorieen!$D:$E,2,FALSE),"")</f>
        <v/>
      </c>
      <c r="T33" s="12" t="str">
        <f>IFERROR(VLOOKUP(G33,categorieen!$D:$E,2,FALSE),"")</f>
        <v/>
      </c>
      <c r="U33" s="12" t="str">
        <f>IFERROR(VLOOKUP(H33,categorieen!$D:$E,2,FALSE),"")</f>
        <v/>
      </c>
      <c r="V33" s="12" t="str">
        <f>IFERROR(VLOOKUP(I33,categorieen!$D:$E,2,FALSE),"")</f>
        <v/>
      </c>
      <c r="W33" s="12" t="str">
        <f>IFERROR(VLOOKUP(J33,categorieen!$D:$E,2,FALSE),"")</f>
        <v/>
      </c>
    </row>
    <row r="34" spans="1:23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15</v>
      </c>
      <c r="I34" s="12"/>
      <c r="J34" s="12"/>
      <c r="K34" s="12"/>
      <c r="L34" s="12"/>
      <c r="M34" s="12"/>
      <c r="N34" s="12"/>
      <c r="O34" s="12"/>
      <c r="P34" s="12" t="str">
        <f>IFERROR(VLOOKUP(C34,categorieen!$D:$E,2,FALSE),"")</f>
        <v>Water</v>
      </c>
      <c r="Q34" s="12" t="str">
        <f>IFERROR(VLOOKUP(D34,categorieen!$D:$E,2,FALSE),"")</f>
        <v>Natuur</v>
      </c>
      <c r="R34" s="12" t="str">
        <f>IFERROR(VLOOKUP(E34,categorieen!$D:$E,2,FALSE),"")</f>
        <v>West Brabant</v>
      </c>
      <c r="S34" s="12" t="str">
        <f>IFERROR(VLOOKUP(F34,categorieen!$D:$E,2,FALSE),"")</f>
        <v>Theater</v>
      </c>
      <c r="T34" s="12" t="str">
        <f>IFERROR(VLOOKUP(G34,categorieen!$D:$E,2,FALSE),"")</f>
        <v>3x dezelfde letter</v>
      </c>
      <c r="U34" s="12" t="str">
        <f>IFERROR(VLOOKUP(H34,categorieen!$D:$E,2,FALSE),"")</f>
        <v>Getal/Cijfer</v>
      </c>
      <c r="V34" s="12" t="str">
        <f>IFERROR(VLOOKUP(I34,categorieen!$D:$E,2,FALSE),"")</f>
        <v/>
      </c>
      <c r="W34" s="12" t="str">
        <f>IFERROR(VLOOKUP(J34,categorieen!$D:$E,2,FALSE),"")</f>
        <v/>
      </c>
    </row>
    <row r="35" spans="1:23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/>
      <c r="N35" s="12"/>
      <c r="O35" s="12"/>
      <c r="P35" s="12" t="str">
        <f>IFERROR(VLOOKUP(C35,categorieen!$D:$E,2,FALSE),"")</f>
        <v>076 (Breda)</v>
      </c>
      <c r="Q35" s="12" t="str">
        <f>IFERROR(VLOOKUP(D35,categorieen!$D:$E,2,FALSE),"")</f>
        <v>Plein</v>
      </c>
      <c r="R35" s="12" t="str">
        <f>IFERROR(VLOOKUP(E35,categorieen!$D:$E,2,FALSE),"")</f>
        <v>040 (Eindhoven)</v>
      </c>
      <c r="S35" s="12" t="str">
        <f>IFERROR(VLOOKUP(F35,categorieen!$D:$E,2,FALSE),"")</f>
        <v>Tilburg</v>
      </c>
      <c r="T35" s="12" t="str">
        <f>IFERROR(VLOOKUP(G35,categorieen!$D:$E,2,FALSE),"")</f>
        <v>Kiosk</v>
      </c>
      <c r="U35" s="12" t="str">
        <f>IFERROR(VLOOKUP(H35,categorieen!$D:$E,2,FALSE),"")</f>
        <v>3x dezelfde letter</v>
      </c>
      <c r="V35" s="12" t="str">
        <f>IFERROR(VLOOKUP(I35,categorieen!$D:$E,2,FALSE),"")</f>
        <v>Eindigt op el</v>
      </c>
      <c r="W35" s="12" t="str">
        <f>IFERROR(VLOOKUP(J35,categorieen!$D:$E,2,FALSE),"")</f>
        <v>Water</v>
      </c>
    </row>
    <row r="36" spans="1:23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/>
      <c r="N36" s="12"/>
      <c r="O36" s="12"/>
      <c r="P36" s="12" t="str">
        <f>IFERROR(VLOOKUP(C36,categorieen!$D:$E,2,FALSE),"")</f>
        <v>(stand)beeld / (Rijks)monument</v>
      </c>
      <c r="Q36" s="12" t="str">
        <f>IFERROR(VLOOKUP(D36,categorieen!$D:$E,2,FALSE),"")</f>
        <v>076 (Breda)</v>
      </c>
      <c r="R36" s="12" t="str">
        <f>IFERROR(VLOOKUP(E36,categorieen!$D:$E,2,FALSE),"")</f>
        <v>Eindigt op el</v>
      </c>
      <c r="S36" s="12" t="str">
        <f>IFERROR(VLOOKUP(F36,categorieen!$D:$E,2,FALSE),"")</f>
        <v>3x dezelfde letter</v>
      </c>
      <c r="T36" s="12" t="str">
        <f>IFERROR(VLOOKUP(G36,categorieen!$D:$E,2,FALSE),"")</f>
        <v>Festival</v>
      </c>
      <c r="U36" s="12" t="str">
        <f>IFERROR(VLOOKUP(H36,categorieen!$D:$E,2,FALSE),"")</f>
        <v/>
      </c>
      <c r="V36" s="12" t="str">
        <f>IFERROR(VLOOKUP(I36,categorieen!$D:$E,2,FALSE),"")</f>
        <v/>
      </c>
      <c r="W36" s="12" t="str">
        <f>IFERROR(VLOOKUP(J36,categorieen!$D:$E,2,FALSE),"")</f>
        <v/>
      </c>
    </row>
    <row r="37" spans="1:23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/>
      <c r="N37" s="12"/>
      <c r="O37" s="12"/>
      <c r="P37" s="12" t="str">
        <f>IFERROR(VLOOKUP(C37,categorieen!$D:$E,2,FALSE),"")</f>
        <v>3x dezelfde letter</v>
      </c>
      <c r="Q37" s="12" t="str">
        <f>IFERROR(VLOOKUP(D37,categorieen!$D:$E,2,FALSE),"")</f>
        <v>Met 4 Wieken</v>
      </c>
      <c r="R37" s="12" t="str">
        <f>IFERROR(VLOOKUP(E37,categorieen!$D:$E,2,FALSE),"")</f>
        <v>(stand)beeld / (Rijks)monument</v>
      </c>
      <c r="S37" s="12" t="str">
        <f>IFERROR(VLOOKUP(F37,categorieen!$D:$E,2,FALSE),"")</f>
        <v>Natuur</v>
      </c>
      <c r="T37" s="12" t="str">
        <f>IFERROR(VLOOKUP(G37,categorieen!$D:$E,2,FALSE),"")</f>
        <v/>
      </c>
      <c r="U37" s="12" t="str">
        <f>IFERROR(VLOOKUP(H37,categorieen!$D:$E,2,FALSE),"")</f>
        <v/>
      </c>
      <c r="V37" s="12" t="str">
        <f>IFERROR(VLOOKUP(I37,categorieen!$D:$E,2,FALSE),"")</f>
        <v/>
      </c>
      <c r="W37" s="12" t="str">
        <f>IFERROR(VLOOKUP(J37,categorieen!$D:$E,2,FALSE),"")</f>
        <v/>
      </c>
    </row>
    <row r="38" spans="1:23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>
        <v>40</v>
      </c>
      <c r="I38" s="12"/>
      <c r="J38" s="12"/>
      <c r="K38" s="12"/>
      <c r="L38" s="12"/>
      <c r="M38" s="12"/>
      <c r="N38" s="12"/>
      <c r="O38" s="12"/>
      <c r="P38" s="12" t="str">
        <f>IFERROR(VLOOKUP(C38,categorieen!$D:$E,2,FALSE),"")</f>
        <v>Zes letters</v>
      </c>
      <c r="Q38" s="12" t="str">
        <f>IFERROR(VLOOKUP(D38,categorieen!$D:$E,2,FALSE),"")</f>
        <v>Bekende Brabanders</v>
      </c>
      <c r="R38" s="12" t="str">
        <f>IFERROR(VLOOKUP(E38,categorieen!$D:$E,2,FALSE),"")</f>
        <v>In de volksmond (IDV)</v>
      </c>
      <c r="S38" s="12" t="str">
        <f>IFERROR(VLOOKUP(F38,categorieen!$D:$E,2,FALSE),"")</f>
        <v>(stand)beeld / (Rijks)monument</v>
      </c>
      <c r="T38" s="12" t="str">
        <f>IFERROR(VLOOKUP(G38,categorieen!$D:$E,2,FALSE),"")</f>
        <v>Alaaf</v>
      </c>
      <c r="U38" s="12" t="str">
        <f>IFERROR(VLOOKUP(H38,categorieen!$D:$E,2,FALSE),"")</f>
        <v>Typisch Brabants (TB)</v>
      </c>
      <c r="V38" s="12" t="str">
        <f>IFERROR(VLOOKUP(I38,categorieen!$D:$E,2,FALSE),"")</f>
        <v/>
      </c>
      <c r="W38" s="12" t="str">
        <f>IFERROR(VLOOKUP(J38,categorieen!$D:$E,2,FALSE),"")</f>
        <v/>
      </c>
    </row>
    <row r="39" spans="1:23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/>
      <c r="N39" s="12"/>
      <c r="O39" s="12"/>
      <c r="P39" s="12" t="str">
        <f>IFERROR(VLOOKUP(C39,categorieen!$D:$E,2,FALSE),"")</f>
        <v>Theater</v>
      </c>
      <c r="Q39" s="12" t="str">
        <f>IFERROR(VLOOKUP(D39,categorieen!$D:$E,2,FALSE),"")</f>
        <v>3x dezelfde letter</v>
      </c>
      <c r="R39" s="12" t="str">
        <f>IFERROR(VLOOKUP(E39,categorieen!$D:$E,2,FALSE),"")</f>
        <v>Met 4 Wieken</v>
      </c>
      <c r="S39" s="12" t="str">
        <f>IFERROR(VLOOKUP(F39,categorieen!$D:$E,2,FALSE),"")</f>
        <v>7 letters</v>
      </c>
      <c r="T39" s="12" t="str">
        <f>IFERROR(VLOOKUP(G39,categorieen!$D:$E,2,FALSE),"")</f>
        <v>Buurtschap</v>
      </c>
      <c r="U39" s="12" t="str">
        <f>IFERROR(VLOOKUP(H39,categorieen!$D:$E,2,FALSE),"")</f>
        <v/>
      </c>
      <c r="V39" s="12" t="str">
        <f>IFERROR(VLOOKUP(I39,categorieen!$D:$E,2,FALSE),"")</f>
        <v/>
      </c>
      <c r="W39" s="12" t="str">
        <f>IFERROR(VLOOKUP(J39,categorieen!$D:$E,2,FALSE),"")</f>
        <v/>
      </c>
    </row>
    <row r="40" spans="1:23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 t="str">
        <f>IFERROR(VLOOKUP(C40,categorieen!$D:$E,2,FALSE),"")</f>
        <v>Zes letters</v>
      </c>
      <c r="Q40" s="12" t="str">
        <f>IFERROR(VLOOKUP(D40,categorieen!$D:$E,2,FALSE),"")</f>
        <v>Kiosk</v>
      </c>
      <c r="R40" s="12" t="str">
        <f>IFERROR(VLOOKUP(E40,categorieen!$D:$E,2,FALSE),"")</f>
        <v/>
      </c>
      <c r="S40" s="12" t="str">
        <f>IFERROR(VLOOKUP(F40,categorieen!$D:$E,2,FALSE),"")</f>
        <v/>
      </c>
      <c r="T40" s="12" t="str">
        <f>IFERROR(VLOOKUP(G40,categorieen!$D:$E,2,FALSE),"")</f>
        <v/>
      </c>
      <c r="U40" s="12" t="str">
        <f>IFERROR(VLOOKUP(H40,categorieen!$D:$E,2,FALSE),"")</f>
        <v/>
      </c>
      <c r="V40" s="12" t="str">
        <f>IFERROR(VLOOKUP(I40,categorieen!$D:$E,2,FALSE),"")</f>
        <v/>
      </c>
      <c r="W40" s="12" t="str">
        <f>IFERROR(VLOOKUP(J40,categorieen!$D:$E,2,FALSE),"")</f>
        <v/>
      </c>
    </row>
    <row r="41" spans="1:23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/>
      <c r="N41" s="12"/>
      <c r="O41" s="12"/>
      <c r="P41" s="12" t="str">
        <f>IFERROR(VLOOKUP(C41,categorieen!$D:$E,2,FALSE),"")</f>
        <v>076 (Breda)</v>
      </c>
      <c r="Q41" s="12" t="str">
        <f>IFERROR(VLOOKUP(D41,categorieen!$D:$E,2,FALSE),"")</f>
        <v>West Brabant</v>
      </c>
      <c r="R41" s="12" t="str">
        <f>IFERROR(VLOOKUP(E41,categorieen!$D:$E,2,FALSE),"")</f>
        <v>Natuur</v>
      </c>
      <c r="S41" s="12" t="str">
        <f>IFERROR(VLOOKUP(F41,categorieen!$D:$E,2,FALSE),"")</f>
        <v>Typisch Brabants (TB)</v>
      </c>
      <c r="T41" s="12" t="str">
        <f>IFERROR(VLOOKUP(G41,categorieen!$D:$E,2,FALSE),"")</f>
        <v>Kleurrijk</v>
      </c>
      <c r="U41" s="12" t="str">
        <f>IFERROR(VLOOKUP(H41,categorieen!$D:$E,2,FALSE),"")</f>
        <v/>
      </c>
      <c r="V41" s="12" t="str">
        <f>IFERROR(VLOOKUP(I41,categorieen!$D:$E,2,FALSE),"")</f>
        <v/>
      </c>
      <c r="W41" s="12" t="str">
        <f>IFERROR(VLOOKUP(J41,categorieen!$D:$E,2,FALSE),"")</f>
        <v/>
      </c>
    </row>
    <row r="42" spans="1:23" x14ac:dyDescent="0.25">
      <c r="A42" s="12" t="s">
        <v>82</v>
      </c>
      <c r="B42" s="13"/>
      <c r="C42" s="12">
        <v>16</v>
      </c>
      <c r="D42" s="12">
        <v>34</v>
      </c>
      <c r="E42" s="12">
        <v>27</v>
      </c>
      <c r="F42" s="12">
        <v>43</v>
      </c>
      <c r="G42" s="12"/>
      <c r="H42" s="12"/>
      <c r="I42" s="12"/>
      <c r="J42" s="12"/>
      <c r="K42" s="12"/>
      <c r="L42" s="12"/>
      <c r="M42" s="12"/>
      <c r="N42" s="12"/>
      <c r="O42" s="12"/>
      <c r="P42" s="12" t="str">
        <f>IFERROR(VLOOKUP(C42,categorieen!$D:$E,2,FALSE),"")</f>
        <v>Buurtschap</v>
      </c>
      <c r="Q42" s="12" t="str">
        <f>IFERROR(VLOOKUP(D42,categorieen!$D:$E,2,FALSE),"")</f>
        <v>Met 4 Wieken</v>
      </c>
      <c r="R42" s="12" t="str">
        <f>IFERROR(VLOOKUP(E42,categorieen!$D:$E,2,FALSE),"")</f>
        <v>Eten en Drinken (ED)</v>
      </c>
      <c r="S42" s="12" t="str">
        <f>IFERROR(VLOOKUP(F42,categorieen!$D:$E,2,FALSE),"")</f>
        <v>Dierlijk</v>
      </c>
      <c r="T42" s="12" t="str">
        <f>IFERROR(VLOOKUP(G42,categorieen!$D:$E,2,FALSE),"")</f>
        <v/>
      </c>
      <c r="U42" s="12" t="str">
        <f>IFERROR(VLOOKUP(H42,categorieen!$D:$E,2,FALSE),"")</f>
        <v/>
      </c>
      <c r="V42" s="12" t="str">
        <f>IFERROR(VLOOKUP(I42,categorieen!$D:$E,2,FALSE),"")</f>
        <v/>
      </c>
      <c r="W42" s="12" t="str">
        <f>IFERROR(VLOOKUP(J42,categorieen!$D:$E,2,FALSE),"")</f>
        <v/>
      </c>
    </row>
    <row r="43" spans="1:23" x14ac:dyDescent="0.25">
      <c r="A43" s="12" t="s">
        <v>83</v>
      </c>
      <c r="B43" s="13"/>
      <c r="C43" s="12">
        <v>15</v>
      </c>
      <c r="D43" s="12">
        <v>34</v>
      </c>
      <c r="E43" s="12">
        <v>2</v>
      </c>
      <c r="F43" s="12"/>
      <c r="G43" s="12"/>
      <c r="H43" s="12"/>
      <c r="I43" s="12"/>
      <c r="J43" s="12"/>
      <c r="K43" s="12"/>
      <c r="L43" s="12"/>
      <c r="M43" s="12">
        <v>34</v>
      </c>
      <c r="N43" s="12"/>
      <c r="O43" s="12"/>
      <c r="P43" s="12" t="str">
        <f>IFERROR(VLOOKUP(C43,categorieen!$D:$E,2,FALSE),"")</f>
        <v>Getal/Cijfer</v>
      </c>
      <c r="Q43" s="12" t="str">
        <f>IFERROR(VLOOKUP(D43,categorieen!$D:$E,2,FALSE),"")</f>
        <v>Met 4 Wieken</v>
      </c>
      <c r="R43" s="12" t="str">
        <f>IFERROR(VLOOKUP(E43,categorieen!$D:$E,2,FALSE),"")</f>
        <v>(stand)beeld / (Rijks)monument</v>
      </c>
      <c r="S43" s="12" t="str">
        <f>IFERROR(VLOOKUP(F43,categorieen!$D:$E,2,FALSE),"")</f>
        <v/>
      </c>
      <c r="T43" s="12" t="str">
        <f>IFERROR(VLOOKUP(G43,categorieen!$D:$E,2,FALSE),"")</f>
        <v/>
      </c>
      <c r="U43" s="12" t="str">
        <f>IFERROR(VLOOKUP(H43,categorieen!$D:$E,2,FALSE),"")</f>
        <v/>
      </c>
      <c r="V43" s="12" t="str">
        <f>IFERROR(VLOOKUP(I43,categorieen!$D:$E,2,FALSE),"")</f>
        <v/>
      </c>
      <c r="W43" s="12" t="str">
        <f>IFERROR(VLOOKUP(J43,categorieen!$D:$E,2,FALSE),"")</f>
        <v/>
      </c>
    </row>
    <row r="44" spans="1:23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/>
      <c r="N44" s="12"/>
      <c r="O44" s="12"/>
      <c r="P44" s="12" t="str">
        <f>IFERROR(VLOOKUP(C44,categorieen!$D:$E,2,FALSE),"")</f>
        <v>Alaaf</v>
      </c>
      <c r="Q44" s="12" t="str">
        <f>IFERROR(VLOOKUP(D44,categorieen!$D:$E,2,FALSE),"")</f>
        <v>s Hertogenbosch (DB)</v>
      </c>
      <c r="R44" s="12" t="str">
        <f>IFERROR(VLOOKUP(E44,categorieen!$D:$E,2,FALSE),"")</f>
        <v>Getal/Cijfer</v>
      </c>
      <c r="S44" s="12" t="str">
        <f>IFERROR(VLOOKUP(F44,categorieen!$D:$E,2,FALSE),"")</f>
        <v>Bekende Brabanders</v>
      </c>
      <c r="T44" s="12" t="str">
        <f>IFERROR(VLOOKUP(G44,categorieen!$D:$E,2,FALSE),"")</f>
        <v>Kleurrijk</v>
      </c>
      <c r="U44" s="12" t="str">
        <f>IFERROR(VLOOKUP(H44,categorieen!$D:$E,2,FALSE),"")</f>
        <v/>
      </c>
      <c r="V44" s="12" t="str">
        <f>IFERROR(VLOOKUP(I44,categorieen!$D:$E,2,FALSE),"")</f>
        <v/>
      </c>
      <c r="W44" s="12" t="str">
        <f>IFERROR(VLOOKUP(J44,categorieen!$D:$E,2,FALSE),"")</f>
        <v/>
      </c>
    </row>
    <row r="45" spans="1:23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/>
      <c r="N45" s="12"/>
      <c r="O45" s="12"/>
      <c r="P45" s="12" t="str">
        <f>IFERROR(VLOOKUP(C45,categorieen!$D:$E,2,FALSE),"")</f>
        <v>Hilvarenbeek</v>
      </c>
      <c r="Q45" s="12" t="str">
        <f>IFERROR(VLOOKUP(D45,categorieen!$D:$E,2,FALSE),"")</f>
        <v>Plein</v>
      </c>
      <c r="R45" s="12" t="str">
        <f>IFERROR(VLOOKUP(E45,categorieen!$D:$E,2,FALSE),"")</f>
        <v>Kiosk</v>
      </c>
      <c r="S45" s="12" t="str">
        <f>IFERROR(VLOOKUP(F45,categorieen!$D:$E,2,FALSE),"")</f>
        <v>Alaaf</v>
      </c>
      <c r="T45" s="12" t="str">
        <f>IFERROR(VLOOKUP(G45,categorieen!$D:$E,2,FALSE),"")</f>
        <v/>
      </c>
      <c r="U45" s="12" t="str">
        <f>IFERROR(VLOOKUP(H45,categorieen!$D:$E,2,FALSE),"")</f>
        <v/>
      </c>
      <c r="V45" s="12" t="str">
        <f>IFERROR(VLOOKUP(I45,categorieen!$D:$E,2,FALSE),"")</f>
        <v/>
      </c>
      <c r="W45" s="12" t="str">
        <f>IFERROR(VLOOKUP(J45,categorieen!$D:$E,2,FALSE),"")</f>
        <v/>
      </c>
    </row>
    <row r="46" spans="1:23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/>
      <c r="N46" s="12"/>
      <c r="O46" s="12"/>
      <c r="P46" s="12" t="str">
        <f>IFERROR(VLOOKUP(C46,categorieen!$D:$E,2,FALSE),"")</f>
        <v>Alaaf</v>
      </c>
      <c r="Q46" s="12" t="str">
        <f>IFERROR(VLOOKUP(D46,categorieen!$D:$E,2,FALSE),"")</f>
        <v>Parel in het Groen (PITG)</v>
      </c>
      <c r="R46" s="12" t="str">
        <f>IFERROR(VLOOKUP(E46,categorieen!$D:$E,2,FALSE),"")</f>
        <v>3x dezelfde letter</v>
      </c>
      <c r="S46" s="12" t="str">
        <f>IFERROR(VLOOKUP(F46,categorieen!$D:$E,2,FALSE),"")</f>
        <v>Met dubbel T</v>
      </c>
      <c r="T46" s="12" t="str">
        <f>IFERROR(VLOOKUP(G46,categorieen!$D:$E,2,FALSE),"")</f>
        <v>Met 4 Wieken</v>
      </c>
      <c r="U46" s="12" t="str">
        <f>IFERROR(VLOOKUP(H46,categorieen!$D:$E,2,FALSE),"")</f>
        <v/>
      </c>
      <c r="V46" s="12" t="str">
        <f>IFERROR(VLOOKUP(I46,categorieen!$D:$E,2,FALSE),"")</f>
        <v/>
      </c>
      <c r="W46" s="12" t="str">
        <f>IFERROR(VLOOKUP(J46,categorieen!$D:$E,2,FALSE),"")</f>
        <v/>
      </c>
    </row>
    <row r="47" spans="1:23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42</v>
      </c>
      <c r="G47" s="12"/>
      <c r="H47" s="12"/>
      <c r="I47" s="12"/>
      <c r="J47" s="12"/>
      <c r="K47" s="12"/>
      <c r="L47" s="12"/>
      <c r="M47" s="12"/>
      <c r="N47" s="12"/>
      <c r="O47" s="12"/>
      <c r="P47" s="12" t="str">
        <f>IFERROR(VLOOKUP(C47,categorieen!$D:$E,2,FALSE),"")</f>
        <v>Getal/Cijfer</v>
      </c>
      <c r="Q47" s="12" t="str">
        <f>IFERROR(VLOOKUP(D47,categorieen!$D:$E,2,FALSE),"")</f>
        <v>Eten en Drinken (ED)</v>
      </c>
      <c r="R47" s="12" t="str">
        <f>IFERROR(VLOOKUP(E47,categorieen!$D:$E,2,FALSE),"")</f>
        <v>(stand)beeld / (Rijks)monument</v>
      </c>
      <c r="S47" s="12" t="str">
        <f>IFERROR(VLOOKUP(F47,categorieen!$D:$E,2,FALSE),"")</f>
        <v>7 letters</v>
      </c>
      <c r="T47" s="12" t="str">
        <f>IFERROR(VLOOKUP(G47,categorieen!$D:$E,2,FALSE),"")</f>
        <v/>
      </c>
      <c r="U47" s="12" t="str">
        <f>IFERROR(VLOOKUP(H47,categorieen!$D:$E,2,FALSE),"")</f>
        <v/>
      </c>
      <c r="V47" s="12" t="str">
        <f>IFERROR(VLOOKUP(I47,categorieen!$D:$E,2,FALSE),"")</f>
        <v/>
      </c>
      <c r="W47" s="12" t="str">
        <f>IFERROR(VLOOKUP(J47,categorieen!$D:$E,2,FALSE),"")</f>
        <v/>
      </c>
    </row>
    <row r="48" spans="1:23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/>
      <c r="N48" s="12"/>
      <c r="O48" s="12"/>
      <c r="P48" s="12" t="str">
        <f>IFERROR(VLOOKUP(C48,categorieen!$D:$E,2,FALSE),"")</f>
        <v>Hilvarenbeek</v>
      </c>
      <c r="Q48" s="12" t="str">
        <f>IFERROR(VLOOKUP(D48,categorieen!$D:$E,2,FALSE),"")</f>
        <v>7 letters</v>
      </c>
      <c r="R48" s="12" t="str">
        <f>IFERROR(VLOOKUP(E48,categorieen!$D:$E,2,FALSE),"")</f>
        <v>Met dubbel s</v>
      </c>
      <c r="S48" s="12" t="str">
        <f>IFERROR(VLOOKUP(F48,categorieen!$D:$E,2,FALSE),"")</f>
        <v>Met ie</v>
      </c>
      <c r="T48" s="12" t="str">
        <f>IFERROR(VLOOKUP(G48,categorieen!$D:$E,2,FALSE),"")</f>
        <v>Willem II</v>
      </c>
      <c r="U48" s="12" t="str">
        <f>IFERROR(VLOOKUP(H48,categorieen!$D:$E,2,FALSE),"")</f>
        <v/>
      </c>
      <c r="V48" s="12" t="str">
        <f>IFERROR(VLOOKUP(I48,categorieen!$D:$E,2,FALSE),"")</f>
        <v/>
      </c>
      <c r="W48" s="12" t="str">
        <f>IFERROR(VLOOKUP(J48,categorieen!$D:$E,2,FALSE),"")</f>
        <v/>
      </c>
    </row>
    <row r="49" spans="1:23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42</v>
      </c>
      <c r="F49" s="12">
        <v>31</v>
      </c>
      <c r="G49" s="12"/>
      <c r="H49" s="12"/>
      <c r="I49" s="12"/>
      <c r="J49" s="12"/>
      <c r="K49" s="12"/>
      <c r="L49" s="12"/>
      <c r="M49" s="12"/>
      <c r="N49" s="12"/>
      <c r="O49" s="12"/>
      <c r="P49" s="12" t="str">
        <f>IFERROR(VLOOKUP(C49,categorieen!$D:$E,2,FALSE),"")</f>
        <v>Bekende Brabanders</v>
      </c>
      <c r="Q49" s="12" t="str">
        <f>IFERROR(VLOOKUP(D49,categorieen!$D:$E,2,FALSE),"")</f>
        <v>Sport</v>
      </c>
      <c r="R49" s="12" t="str">
        <f>IFERROR(VLOOKUP(E49,categorieen!$D:$E,2,FALSE),"")</f>
        <v>7 letters</v>
      </c>
      <c r="S49" s="12" t="str">
        <f>IFERROR(VLOOKUP(F49,categorieen!$D:$E,2,FALSE),"")</f>
        <v>Kleurrijk</v>
      </c>
      <c r="T49" s="12" t="str">
        <f>IFERROR(VLOOKUP(G49,categorieen!$D:$E,2,FALSE),"")</f>
        <v/>
      </c>
      <c r="U49" s="12" t="str">
        <f>IFERROR(VLOOKUP(H49,categorieen!$D:$E,2,FALSE),"")</f>
        <v/>
      </c>
      <c r="V49" s="12" t="str">
        <f>IFERROR(VLOOKUP(I49,categorieen!$D:$E,2,FALSE),"")</f>
        <v/>
      </c>
      <c r="W49" s="12" t="str">
        <f>IFERROR(VLOOKUP(J49,categorieen!$D:$E,2,FALSE),"")</f>
        <v/>
      </c>
    </row>
    <row r="50" spans="1:23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/>
      <c r="N50" s="12"/>
      <c r="O50" s="12"/>
      <c r="P50" s="12" t="str">
        <f>IFERROR(VLOOKUP(C50,categorieen!$D:$E,2,FALSE),"")</f>
        <v>s Hertogenbosch (DB)</v>
      </c>
      <c r="Q50" s="12" t="str">
        <f>IFERROR(VLOOKUP(D50,categorieen!$D:$E,2,FALSE),"")</f>
        <v>(stand)beeld / (Rijks)monument</v>
      </c>
      <c r="R50" s="12" t="str">
        <f>IFERROR(VLOOKUP(E50,categorieen!$D:$E,2,FALSE),"")</f>
        <v>Dierlijk</v>
      </c>
      <c r="S50" s="12" t="str">
        <f>IFERROR(VLOOKUP(F50,categorieen!$D:$E,2,FALSE),"")</f>
        <v>3x dezelfde letter</v>
      </c>
      <c r="T50" s="12" t="str">
        <f>IFERROR(VLOOKUP(G50,categorieen!$D:$E,2,FALSE),"")</f>
        <v>Water</v>
      </c>
      <c r="U50" s="12" t="str">
        <f>IFERROR(VLOOKUP(H50,categorieen!$D:$E,2,FALSE),"")</f>
        <v/>
      </c>
      <c r="V50" s="12" t="str">
        <f>IFERROR(VLOOKUP(I50,categorieen!$D:$E,2,FALSE),"")</f>
        <v/>
      </c>
      <c r="W50" s="12" t="str">
        <f>IFERROR(VLOOKUP(J50,categorieen!$D:$E,2,FALSE),"")</f>
        <v/>
      </c>
    </row>
    <row r="51" spans="1:23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>
        <v>25</v>
      </c>
      <c r="N51" s="12"/>
      <c r="O51" s="12"/>
      <c r="P51" s="12" t="str">
        <f>IFERROR(VLOOKUP(C51,categorieen!$D:$E,2,FALSE),"")</f>
        <v>1 van de 8</v>
      </c>
      <c r="Q51" s="12" t="str">
        <f>IFERROR(VLOOKUP(D51,categorieen!$D:$E,2,FALSE),"")</f>
        <v>Eindigt op el</v>
      </c>
      <c r="R51" s="12" t="str">
        <f>IFERROR(VLOOKUP(E51,categorieen!$D:$E,2,FALSE),"")</f>
        <v>Zes letters</v>
      </c>
      <c r="S51" s="12" t="str">
        <f>IFERROR(VLOOKUP(F51,categorieen!$D:$E,2,FALSE),"")</f>
        <v>Kiosk</v>
      </c>
      <c r="T51" s="12" t="str">
        <f>IFERROR(VLOOKUP(G51,categorieen!$D:$E,2,FALSE),"")</f>
        <v/>
      </c>
      <c r="U51" s="12" t="str">
        <f>IFERROR(VLOOKUP(H51,categorieen!$D:$E,2,FALSE),"")</f>
        <v/>
      </c>
      <c r="V51" s="12" t="str">
        <f>IFERROR(VLOOKUP(I51,categorieen!$D:$E,2,FALSE),"")</f>
        <v/>
      </c>
      <c r="W51" s="12" t="str">
        <f>IFERROR(VLOOKUP(J51,categorieen!$D:$E,2,FALSE),"")</f>
        <v/>
      </c>
    </row>
    <row r="52" spans="1:23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/>
      <c r="N52" s="12"/>
      <c r="O52" s="12"/>
      <c r="P52" s="12" t="str">
        <f>IFERROR(VLOOKUP(C52,categorieen!$D:$E,2,FALSE),"")</f>
        <v>1 van de 8</v>
      </c>
      <c r="Q52" s="12" t="str">
        <f>IFERROR(VLOOKUP(D52,categorieen!$D:$E,2,FALSE),"")</f>
        <v>Zes letters</v>
      </c>
      <c r="R52" s="12" t="str">
        <f>IFERROR(VLOOKUP(E52,categorieen!$D:$E,2,FALSE),"")</f>
        <v>3x dezelfde letter</v>
      </c>
      <c r="S52" s="12" t="str">
        <f>IFERROR(VLOOKUP(F52,categorieen!$D:$E,2,FALSE),"")</f>
        <v>Eindigt op el</v>
      </c>
      <c r="T52" s="12" t="str">
        <f>IFERROR(VLOOKUP(G52,categorieen!$D:$E,2,FALSE),"")</f>
        <v>Kiosk</v>
      </c>
      <c r="U52" s="12" t="str">
        <f>IFERROR(VLOOKUP(H52,categorieen!$D:$E,2,FALSE),"")</f>
        <v/>
      </c>
      <c r="V52" s="12" t="str">
        <f>IFERROR(VLOOKUP(I52,categorieen!$D:$E,2,FALSE),"")</f>
        <v/>
      </c>
      <c r="W52" s="12" t="str">
        <f>IFERROR(VLOOKUP(J52,categorieen!$D:$E,2,FALSE),"")</f>
        <v/>
      </c>
    </row>
    <row r="53" spans="1:23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/>
      <c r="N53" s="12"/>
      <c r="O53" s="12"/>
      <c r="P53" s="12" t="str">
        <f>IFERROR(VLOOKUP(C53,categorieen!$D:$E,2,FALSE),"")</f>
        <v>Hilvarenbeek</v>
      </c>
      <c r="Q53" s="12" t="str">
        <f>IFERROR(VLOOKUP(D53,categorieen!$D:$E,2,FALSE),"")</f>
        <v>Met ie</v>
      </c>
      <c r="R53" s="12" t="str">
        <f>IFERROR(VLOOKUP(E53,categorieen!$D:$E,2,FALSE),"")</f>
        <v>Festival</v>
      </c>
      <c r="S53" s="12" t="str">
        <f>IFERROR(VLOOKUP(F53,categorieen!$D:$E,2,FALSE),"")</f>
        <v>Kleurrijk</v>
      </c>
      <c r="T53" s="12" t="str">
        <f>IFERROR(VLOOKUP(G53,categorieen!$D:$E,2,FALSE),"")</f>
        <v>Eten en Drinken (ED)</v>
      </c>
      <c r="U53" s="12" t="str">
        <f>IFERROR(VLOOKUP(H53,categorieen!$D:$E,2,FALSE),"")</f>
        <v>Typisch Brabants (TB)</v>
      </c>
      <c r="V53" s="12" t="str">
        <f>IFERROR(VLOOKUP(I53,categorieen!$D:$E,2,FALSE),"")</f>
        <v/>
      </c>
      <c r="W53" s="12" t="str">
        <f>IFERROR(VLOOKUP(J53,categorieen!$D:$E,2,FALSE),"")</f>
        <v/>
      </c>
    </row>
    <row r="54" spans="1:23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>
        <v>39</v>
      </c>
      <c r="G54" s="12"/>
      <c r="H54" s="12"/>
      <c r="I54" s="12"/>
      <c r="J54" s="12"/>
      <c r="K54" s="12"/>
      <c r="L54" s="12"/>
      <c r="M54" s="12"/>
      <c r="N54" s="12"/>
      <c r="O54" s="12"/>
      <c r="P54" s="12" t="str">
        <f>IFERROR(VLOOKUP(C54,categorieen!$D:$E,2,FALSE),"")</f>
        <v>040 (Eindhoven)</v>
      </c>
      <c r="Q54" s="12" t="str">
        <f>IFERROR(VLOOKUP(D54,categorieen!$D:$E,2,FALSE),"")</f>
        <v>7 letters</v>
      </c>
      <c r="R54" s="12" t="str">
        <f>IFERROR(VLOOKUP(E54,categorieen!$D:$E,2,FALSE),"")</f>
        <v>(stand)beeld / (Rijks)monument</v>
      </c>
      <c r="S54" s="12" t="str">
        <f>IFERROR(VLOOKUP(F54,categorieen!$D:$E,2,FALSE),"")</f>
        <v>Theater</v>
      </c>
      <c r="T54" s="12" t="str">
        <f>IFERROR(VLOOKUP(G54,categorieen!$D:$E,2,FALSE),"")</f>
        <v/>
      </c>
      <c r="U54" s="12" t="str">
        <f>IFERROR(VLOOKUP(H54,categorieen!$D:$E,2,FALSE),"")</f>
        <v/>
      </c>
      <c r="V54" s="12" t="str">
        <f>IFERROR(VLOOKUP(I54,categorieen!$D:$E,2,FALSE),"")</f>
        <v/>
      </c>
      <c r="W54" s="12" t="str">
        <f>IFERROR(VLOOKUP(J54,categorieen!$D:$E,2,FALSE),"")</f>
        <v/>
      </c>
    </row>
    <row r="55" spans="1:23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/>
      <c r="N55" s="12"/>
      <c r="O55" s="12"/>
      <c r="P55" s="12" t="str">
        <f>IFERROR(VLOOKUP(C55,categorieen!$D:$E,2,FALSE),"")</f>
        <v>Bekende Brabanders</v>
      </c>
      <c r="Q55" s="12" t="str">
        <f>IFERROR(VLOOKUP(D55,categorieen!$D:$E,2,FALSE),"")</f>
        <v>040 (Eindhoven)</v>
      </c>
      <c r="R55" s="12" t="str">
        <f>IFERROR(VLOOKUP(E55,categorieen!$D:$E,2,FALSE),"")</f>
        <v>Met dubbel s</v>
      </c>
      <c r="S55" s="12" t="str">
        <f>IFERROR(VLOOKUP(F55,categorieen!$D:$E,2,FALSE),"")</f>
        <v>3x dezelfde letter</v>
      </c>
      <c r="T55" s="12" t="str">
        <f>IFERROR(VLOOKUP(G55,categorieen!$D:$E,2,FALSE),"")</f>
        <v/>
      </c>
      <c r="U55" s="12" t="str">
        <f>IFERROR(VLOOKUP(H55,categorieen!$D:$E,2,FALSE),"")</f>
        <v/>
      </c>
      <c r="V55" s="12" t="str">
        <f>IFERROR(VLOOKUP(I55,categorieen!$D:$E,2,FALSE),"")</f>
        <v/>
      </c>
      <c r="W55" s="12" t="str">
        <f>IFERROR(VLOOKUP(J55,categorieen!$D:$E,2,FALSE),"")</f>
        <v/>
      </c>
    </row>
    <row r="56" spans="1:23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 t="str">
        <f>IFERROR(VLOOKUP(C56,categorieen!$D:$E,2,FALSE),"")</f>
        <v>(stand)beeld / (Rijks)monument</v>
      </c>
      <c r="Q56" s="12" t="str">
        <f>IFERROR(VLOOKUP(D56,categorieen!$D:$E,2,FALSE),"")</f>
        <v>3x dezelfde letter</v>
      </c>
      <c r="R56" s="12" t="str">
        <f>IFERROR(VLOOKUP(E56,categorieen!$D:$E,2,FALSE),"")</f>
        <v/>
      </c>
      <c r="S56" s="12" t="str">
        <f>IFERROR(VLOOKUP(F56,categorieen!$D:$E,2,FALSE),"")</f>
        <v/>
      </c>
      <c r="T56" s="12" t="str">
        <f>IFERROR(VLOOKUP(G56,categorieen!$D:$E,2,FALSE),"")</f>
        <v/>
      </c>
      <c r="U56" s="12" t="str">
        <f>IFERROR(VLOOKUP(H56,categorieen!$D:$E,2,FALSE),"")</f>
        <v/>
      </c>
      <c r="V56" s="12" t="str">
        <f>IFERROR(VLOOKUP(I56,categorieen!$D:$E,2,FALSE),"")</f>
        <v/>
      </c>
      <c r="W56" s="12" t="str">
        <f>IFERROR(VLOOKUP(J56,categorieen!$D:$E,2,FALSE),"")</f>
        <v/>
      </c>
    </row>
    <row r="57" spans="1:23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/>
      <c r="N57" s="12"/>
      <c r="O57" s="12"/>
      <c r="P57" s="12" t="str">
        <f>IFERROR(VLOOKUP(C57,categorieen!$D:$E,2,FALSE),"")</f>
        <v>Festival</v>
      </c>
      <c r="Q57" s="12" t="str">
        <f>IFERROR(VLOOKUP(D57,categorieen!$D:$E,2,FALSE),"")</f>
        <v>040 (Eindhoven)</v>
      </c>
      <c r="R57" s="12" t="str">
        <f>IFERROR(VLOOKUP(E57,categorieen!$D:$E,2,FALSE),"")</f>
        <v>Kleurrijk</v>
      </c>
      <c r="S57" s="12" t="str">
        <f>IFERROR(VLOOKUP(F57,categorieen!$D:$E,2,FALSE),"")</f>
        <v>3 of 4 letters</v>
      </c>
      <c r="T57" s="12" t="str">
        <f>IFERROR(VLOOKUP(G57,categorieen!$D:$E,2,FALSE),"")</f>
        <v/>
      </c>
      <c r="U57" s="12" t="str">
        <f>IFERROR(VLOOKUP(H57,categorieen!$D:$E,2,FALSE),"")</f>
        <v/>
      </c>
      <c r="V57" s="12" t="str">
        <f>IFERROR(VLOOKUP(I57,categorieen!$D:$E,2,FALSE),"")</f>
        <v/>
      </c>
      <c r="W57" s="12" t="str">
        <f>IFERROR(VLOOKUP(J57,categorieen!$D:$E,2,FALSE),"")</f>
        <v/>
      </c>
    </row>
    <row r="58" spans="1:23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/>
      <c r="N58" s="12"/>
      <c r="O58" s="12"/>
      <c r="P58" s="12" t="str">
        <f>IFERROR(VLOOKUP(C58,categorieen!$D:$E,2,FALSE),"")</f>
        <v>3x dezelfde letter</v>
      </c>
      <c r="Q58" s="12" t="str">
        <f>IFERROR(VLOOKUP(D58,categorieen!$D:$E,2,FALSE),"")</f>
        <v>Natuur</v>
      </c>
      <c r="R58" s="12" t="str">
        <f>IFERROR(VLOOKUP(E58,categorieen!$D:$E,2,FALSE),"")</f>
        <v>Hilvarenbeek</v>
      </c>
      <c r="S58" s="12" t="str">
        <f>IFERROR(VLOOKUP(F58,categorieen!$D:$E,2,FALSE),"")</f>
        <v>In de volksmond (IDV)</v>
      </c>
      <c r="T58" s="12" t="str">
        <f>IFERROR(VLOOKUP(G58,categorieen!$D:$E,2,FALSE),"")</f>
        <v>Kasteel</v>
      </c>
      <c r="U58" s="12" t="str">
        <f>IFERROR(VLOOKUP(H58,categorieen!$D:$E,2,FALSE),"")</f>
        <v/>
      </c>
      <c r="V58" s="12" t="str">
        <f>IFERROR(VLOOKUP(I58,categorieen!$D:$E,2,FALSE),"")</f>
        <v/>
      </c>
      <c r="W58" s="12" t="str">
        <f>IFERROR(VLOOKUP(J58,categorieen!$D:$E,2,FALSE),"")</f>
        <v/>
      </c>
    </row>
    <row r="59" spans="1:23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/>
      <c r="N59" s="12"/>
      <c r="O59" s="12"/>
      <c r="P59" s="12" t="str">
        <f>IFERROR(VLOOKUP(C59,categorieen!$D:$E,2,FALSE),"")</f>
        <v>s Hertogenbosch (DB)</v>
      </c>
      <c r="Q59" s="12" t="str">
        <f>IFERROR(VLOOKUP(D59,categorieen!$D:$E,2,FALSE),"")</f>
        <v>Natuur</v>
      </c>
      <c r="R59" s="12" t="str">
        <f>IFERROR(VLOOKUP(E59,categorieen!$D:$E,2,FALSE),"")</f>
        <v>In de volksmond (IDV)</v>
      </c>
      <c r="S59" s="12" t="str">
        <f>IFERROR(VLOOKUP(F59,categorieen!$D:$E,2,FALSE),"")</f>
        <v>Typisch Brabants (TB)</v>
      </c>
      <c r="T59" s="12" t="str">
        <f>IFERROR(VLOOKUP(G59,categorieen!$D:$E,2,FALSE),"")</f>
        <v>Festival</v>
      </c>
      <c r="U59" s="12" t="str">
        <f>IFERROR(VLOOKUP(H59,categorieen!$D:$E,2,FALSE),"")</f>
        <v/>
      </c>
      <c r="V59" s="12" t="str">
        <f>IFERROR(VLOOKUP(I59,categorieen!$D:$E,2,FALSE),"")</f>
        <v/>
      </c>
      <c r="W59" s="12" t="str">
        <f>IFERROR(VLOOKUP(J59,categorieen!$D:$E,2,FALSE),"")</f>
        <v/>
      </c>
    </row>
    <row r="60" spans="1:23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/>
      <c r="N60" s="12"/>
      <c r="O60" s="12"/>
      <c r="P60" s="12" t="str">
        <f>IFERROR(VLOOKUP(C60,categorieen!$D:$E,2,FALSE),"")</f>
        <v>Kasteel</v>
      </c>
      <c r="Q60" s="12" t="str">
        <f>IFERROR(VLOOKUP(D60,categorieen!$D:$E,2,FALSE),"")</f>
        <v>Natuur</v>
      </c>
      <c r="R60" s="12" t="str">
        <f>IFERROR(VLOOKUP(E60,categorieen!$D:$E,2,FALSE),"")</f>
        <v>Kiosk</v>
      </c>
      <c r="S60" s="12" t="str">
        <f>IFERROR(VLOOKUP(F60,categorieen!$D:$E,2,FALSE),"")</f>
        <v>Buurtschap</v>
      </c>
      <c r="T60" s="12" t="str">
        <f>IFERROR(VLOOKUP(G60,categorieen!$D:$E,2,FALSE),"")</f>
        <v>(stand)beeld / (Rijks)monument</v>
      </c>
      <c r="U60" s="12" t="str">
        <f>IFERROR(VLOOKUP(H60,categorieen!$D:$E,2,FALSE),"")</f>
        <v>Eten en Drinken (ED)</v>
      </c>
      <c r="V60" s="12" t="str">
        <f>IFERROR(VLOOKUP(I60,categorieen!$D:$E,2,FALSE),"")</f>
        <v/>
      </c>
      <c r="W60" s="12" t="str">
        <f>IFERROR(VLOOKUP(J60,categorieen!$D:$E,2,FALSE),"")</f>
        <v/>
      </c>
    </row>
    <row r="61" spans="1:23" x14ac:dyDescent="0.25">
      <c r="A61" s="12" t="s">
        <v>102</v>
      </c>
      <c r="B61" s="13"/>
      <c r="C61" s="12">
        <v>16</v>
      </c>
      <c r="D61" s="12">
        <v>34</v>
      </c>
      <c r="E61" s="12"/>
      <c r="F61" s="12"/>
      <c r="G61" s="12"/>
      <c r="H61" s="12"/>
      <c r="I61" s="12"/>
      <c r="J61" s="12"/>
      <c r="K61" s="12"/>
      <c r="L61" s="12"/>
      <c r="M61" s="12">
        <v>34</v>
      </c>
      <c r="N61" s="12"/>
      <c r="O61" s="12"/>
      <c r="P61" s="12" t="str">
        <f>IFERROR(VLOOKUP(C61,categorieen!$D:$E,2,FALSE),"")</f>
        <v>Buurtschap</v>
      </c>
      <c r="Q61" s="12" t="str">
        <f>IFERROR(VLOOKUP(D61,categorieen!$D:$E,2,FALSE),"")</f>
        <v>Met 4 Wieken</v>
      </c>
      <c r="R61" s="12" t="str">
        <f>IFERROR(VLOOKUP(E61,categorieen!$D:$E,2,FALSE),"")</f>
        <v/>
      </c>
      <c r="S61" s="12" t="str">
        <f>IFERROR(VLOOKUP(F61,categorieen!$D:$E,2,FALSE),"")</f>
        <v/>
      </c>
      <c r="T61" s="12" t="str">
        <f>IFERROR(VLOOKUP(G61,categorieen!$D:$E,2,FALSE),"")</f>
        <v/>
      </c>
      <c r="U61" s="12" t="str">
        <f>IFERROR(VLOOKUP(H61,categorieen!$D:$E,2,FALSE),"")</f>
        <v/>
      </c>
      <c r="V61" s="12" t="str">
        <f>IFERROR(VLOOKUP(I61,categorieen!$D:$E,2,FALSE),"")</f>
        <v/>
      </c>
      <c r="W61" s="12" t="str">
        <f>IFERROR(VLOOKUP(J61,categorieen!$D:$E,2,FALSE),"")</f>
        <v/>
      </c>
    </row>
    <row r="62" spans="1:23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/>
      <c r="N62" s="12"/>
      <c r="O62" s="12"/>
      <c r="P62" s="12" t="str">
        <f>IFERROR(VLOOKUP(C62,categorieen!$D:$E,2,FALSE),"")</f>
        <v>7 letters</v>
      </c>
      <c r="Q62" s="12" t="str">
        <f>IFERROR(VLOOKUP(D62,categorieen!$D:$E,2,FALSE),"")</f>
        <v>Kasteel</v>
      </c>
      <c r="R62" s="12" t="str">
        <f>IFERROR(VLOOKUP(E62,categorieen!$D:$E,2,FALSE),"")</f>
        <v>(stand)beeld / (Rijks)monument</v>
      </c>
      <c r="S62" s="12" t="str">
        <f>IFERROR(VLOOKUP(F62,categorieen!$D:$E,2,FALSE),"")</f>
        <v>Sport</v>
      </c>
      <c r="T62" s="12" t="str">
        <f>IFERROR(VLOOKUP(G62,categorieen!$D:$E,2,FALSE),"")</f>
        <v/>
      </c>
      <c r="U62" s="12" t="str">
        <f>IFERROR(VLOOKUP(H62,categorieen!$D:$E,2,FALSE),"")</f>
        <v/>
      </c>
      <c r="V62" s="12" t="str">
        <f>IFERROR(VLOOKUP(I62,categorieen!$D:$E,2,FALSE),"")</f>
        <v/>
      </c>
      <c r="W62" s="12" t="str">
        <f>IFERROR(VLOOKUP(J62,categorieen!$D:$E,2,FALSE),"")</f>
        <v/>
      </c>
    </row>
    <row r="63" spans="1:23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 t="str">
        <f>IFERROR(VLOOKUP(C63,categorieen!$D:$E,2,FALSE),"")</f>
        <v>Typisch Brabants (TB)</v>
      </c>
      <c r="Q63" s="12" t="str">
        <f>IFERROR(VLOOKUP(D63,categorieen!$D:$E,2,FALSE),"")</f>
        <v>In de volksmond (IDV)</v>
      </c>
      <c r="R63" s="12" t="str">
        <f>IFERROR(VLOOKUP(E63,categorieen!$D:$E,2,FALSE),"")</f>
        <v>Zes letters</v>
      </c>
      <c r="S63" s="12" t="str">
        <f>IFERROR(VLOOKUP(F63,categorieen!$D:$E,2,FALSE),"")</f>
        <v/>
      </c>
      <c r="T63" s="12" t="str">
        <f>IFERROR(VLOOKUP(G63,categorieen!$D:$E,2,FALSE),"")</f>
        <v/>
      </c>
      <c r="U63" s="12" t="str">
        <f>IFERROR(VLOOKUP(H63,categorieen!$D:$E,2,FALSE),"")</f>
        <v/>
      </c>
      <c r="V63" s="12" t="str">
        <f>IFERROR(VLOOKUP(I63,categorieen!$D:$E,2,FALSE),"")</f>
        <v/>
      </c>
      <c r="W63" s="12" t="str">
        <f>IFERROR(VLOOKUP(J63,categorieen!$D:$E,2,FALSE),"")</f>
        <v/>
      </c>
    </row>
    <row r="64" spans="1:23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 t="str">
        <f>IFERROR(VLOOKUP(C64,categorieen!$D:$E,2,FALSE),"")</f>
        <v>Zes letters</v>
      </c>
      <c r="Q64" s="12" t="str">
        <f>IFERROR(VLOOKUP(D64,categorieen!$D:$E,2,FALSE),"")</f>
        <v>1 van de 8</v>
      </c>
      <c r="R64" s="12" t="str">
        <f>IFERROR(VLOOKUP(E64,categorieen!$D:$E,2,FALSE),"")</f>
        <v>Eindigt op el</v>
      </c>
      <c r="S64" s="12" t="str">
        <f>IFERROR(VLOOKUP(F64,categorieen!$D:$E,2,FALSE),"")</f>
        <v/>
      </c>
      <c r="T64" s="12" t="str">
        <f>IFERROR(VLOOKUP(G64,categorieen!$D:$E,2,FALSE),"")</f>
        <v/>
      </c>
      <c r="U64" s="12" t="str">
        <f>IFERROR(VLOOKUP(H64,categorieen!$D:$E,2,FALSE),"")</f>
        <v/>
      </c>
      <c r="V64" s="12" t="str">
        <f>IFERROR(VLOOKUP(I64,categorieen!$D:$E,2,FALSE),"")</f>
        <v/>
      </c>
      <c r="W64" s="12" t="str">
        <f>IFERROR(VLOOKUP(J64,categorieen!$D:$E,2,FALSE),"")</f>
        <v/>
      </c>
    </row>
    <row r="65" spans="1:23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>
        <v>38</v>
      </c>
      <c r="N65" s="12"/>
      <c r="O65" s="12"/>
      <c r="P65" s="12" t="str">
        <f>IFERROR(VLOOKUP(C65,categorieen!$D:$E,2,FALSE),"")</f>
        <v>Sport</v>
      </c>
      <c r="Q65" s="12" t="str">
        <f>IFERROR(VLOOKUP(D65,categorieen!$D:$E,2,FALSE),"")</f>
        <v>Met dubbel T</v>
      </c>
      <c r="R65" s="12" t="str">
        <f>IFERROR(VLOOKUP(E65,categorieen!$D:$E,2,FALSE),"")</f>
        <v>040 (Eindhoven)</v>
      </c>
      <c r="S65" s="12" t="str">
        <f>IFERROR(VLOOKUP(F65,categorieen!$D:$E,2,FALSE),"")</f>
        <v/>
      </c>
      <c r="T65" s="12" t="str">
        <f>IFERROR(VLOOKUP(G65,categorieen!$D:$E,2,FALSE),"")</f>
        <v/>
      </c>
      <c r="U65" s="12" t="str">
        <f>IFERROR(VLOOKUP(H65,categorieen!$D:$E,2,FALSE),"")</f>
        <v/>
      </c>
      <c r="V65" s="12" t="str">
        <f>IFERROR(VLOOKUP(I65,categorieen!$D:$E,2,FALSE),"")</f>
        <v/>
      </c>
      <c r="W65" s="12" t="str">
        <f>IFERROR(VLOOKUP(J65,categorieen!$D:$E,2,FALSE),"")</f>
        <v/>
      </c>
    </row>
    <row r="66" spans="1:23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/>
      <c r="N66" s="12"/>
      <c r="O66" s="12"/>
      <c r="P66" s="12" t="str">
        <f>IFERROR(VLOOKUP(C66,categorieen!$D:$E,2,FALSE),"")</f>
        <v>Vught</v>
      </c>
      <c r="Q66" s="12" t="str">
        <f>IFERROR(VLOOKUP(D66,categorieen!$D:$E,2,FALSE),"")</f>
        <v>040 (Eindhoven)</v>
      </c>
      <c r="R66" s="12" t="str">
        <f>IFERROR(VLOOKUP(E66,categorieen!$D:$E,2,FALSE),"")</f>
        <v>Water</v>
      </c>
      <c r="S66" s="12" t="str">
        <f>IFERROR(VLOOKUP(F66,categorieen!$D:$E,2,FALSE),"")</f>
        <v>Natuur</v>
      </c>
      <c r="T66" s="12" t="str">
        <f>IFERROR(VLOOKUP(G66,categorieen!$D:$E,2,FALSE),"")</f>
        <v>Eten en Drinken (ED)</v>
      </c>
      <c r="U66" s="12" t="str">
        <f>IFERROR(VLOOKUP(H66,categorieen!$D:$E,2,FALSE),"")</f>
        <v/>
      </c>
      <c r="V66" s="12" t="str">
        <f>IFERROR(VLOOKUP(I66,categorieen!$D:$E,2,FALSE),"")</f>
        <v/>
      </c>
      <c r="W66" s="12" t="str">
        <f>IFERROR(VLOOKUP(J66,categorieen!$D:$E,2,FALSE),"")</f>
        <v/>
      </c>
    </row>
    <row r="67" spans="1:23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/>
      <c r="N67" s="12"/>
      <c r="O67" s="12"/>
      <c r="P67" s="12" t="str">
        <f>IFERROR(VLOOKUP(C67,categorieen!$D:$E,2,FALSE),"")</f>
        <v>Festival</v>
      </c>
      <c r="Q67" s="12" t="str">
        <f>IFERROR(VLOOKUP(D67,categorieen!$D:$E,2,FALSE),"")</f>
        <v>Kleurrijk</v>
      </c>
      <c r="R67" s="12" t="str">
        <f>IFERROR(VLOOKUP(E67,categorieen!$D:$E,2,FALSE),"")</f>
        <v>Parel in het Groen (PITG)</v>
      </c>
      <c r="S67" s="12" t="str">
        <f>IFERROR(VLOOKUP(F67,categorieen!$D:$E,2,FALSE),"")</f>
        <v>7 letters</v>
      </c>
      <c r="T67" s="12" t="str">
        <f>IFERROR(VLOOKUP(G67,categorieen!$D:$E,2,FALSE),"")</f>
        <v/>
      </c>
      <c r="U67" s="12" t="str">
        <f>IFERROR(VLOOKUP(H67,categorieen!$D:$E,2,FALSE),"")</f>
        <v/>
      </c>
      <c r="V67" s="12" t="str">
        <f>IFERROR(VLOOKUP(I67,categorieen!$D:$E,2,FALSE),"")</f>
        <v/>
      </c>
      <c r="W67" s="12" t="str">
        <f>IFERROR(VLOOKUP(J67,categorieen!$D:$E,2,FALSE),"")</f>
        <v/>
      </c>
    </row>
    <row r="68" spans="1:23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 t="str">
        <f>IFERROR(VLOOKUP(C68,categorieen!$D:$E,2,FALSE),"")</f>
        <v>Vught</v>
      </c>
      <c r="Q68" s="12" t="str">
        <f>IFERROR(VLOOKUP(D68,categorieen!$D:$E,2,FALSE),"")</f>
        <v>Eten en Drinken (ED)</v>
      </c>
      <c r="R68" s="12" t="str">
        <f>IFERROR(VLOOKUP(E68,categorieen!$D:$E,2,FALSE),"")</f>
        <v>Kleurrijk</v>
      </c>
      <c r="S68" s="12" t="str">
        <f>IFERROR(VLOOKUP(F68,categorieen!$D:$E,2,FALSE),"")</f>
        <v/>
      </c>
      <c r="T68" s="12" t="str">
        <f>IFERROR(VLOOKUP(G68,categorieen!$D:$E,2,FALSE),"")</f>
        <v/>
      </c>
      <c r="U68" s="12" t="str">
        <f>IFERROR(VLOOKUP(H68,categorieen!$D:$E,2,FALSE),"")</f>
        <v/>
      </c>
      <c r="V68" s="12" t="str">
        <f>IFERROR(VLOOKUP(I68,categorieen!$D:$E,2,FALSE),"")</f>
        <v/>
      </c>
      <c r="W68" s="12" t="str">
        <f>IFERROR(VLOOKUP(J68,categorieen!$D:$E,2,FALSE),"")</f>
        <v/>
      </c>
    </row>
    <row r="69" spans="1:23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 t="str">
        <f>IFERROR(VLOOKUP(C69,categorieen!$D:$E,2,FALSE),"")</f>
        <v>Sport</v>
      </c>
      <c r="Q69" s="12" t="str">
        <f>IFERROR(VLOOKUP(D69,categorieen!$D:$E,2,FALSE),"")</f>
        <v>Bekende Brabanders</v>
      </c>
      <c r="R69" s="12" t="str">
        <f>IFERROR(VLOOKUP(E69,categorieen!$D:$E,2,FALSE),"")</f>
        <v>Willem II</v>
      </c>
      <c r="S69" s="12" t="str">
        <f>IFERROR(VLOOKUP(F69,categorieen!$D:$E,2,FALSE),"")</f>
        <v/>
      </c>
      <c r="T69" s="12" t="str">
        <f>IFERROR(VLOOKUP(G69,categorieen!$D:$E,2,FALSE),"")</f>
        <v/>
      </c>
      <c r="U69" s="12" t="str">
        <f>IFERROR(VLOOKUP(H69,categorieen!$D:$E,2,FALSE),"")</f>
        <v/>
      </c>
      <c r="V69" s="12" t="str">
        <f>IFERROR(VLOOKUP(I69,categorieen!$D:$E,2,FALSE),"")</f>
        <v/>
      </c>
      <c r="W69" s="12" t="str">
        <f>IFERROR(VLOOKUP(J69,categorieen!$D:$E,2,FALSE),"")</f>
        <v/>
      </c>
    </row>
    <row r="70" spans="1:23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 t="str">
        <f>IFERROR(VLOOKUP(C70,categorieen!$D:$E,2,FALSE),"")</f>
        <v>Parel in het Groen (PITG)</v>
      </c>
      <c r="Q70" s="12" t="str">
        <f>IFERROR(VLOOKUP(D70,categorieen!$D:$E,2,FALSE),"")</f>
        <v>7 letters</v>
      </c>
      <c r="R70" s="12" t="str">
        <f>IFERROR(VLOOKUP(E70,categorieen!$D:$E,2,FALSE),"")</f>
        <v>Natuur</v>
      </c>
      <c r="S70" s="12" t="str">
        <f>IFERROR(VLOOKUP(F70,categorieen!$D:$E,2,FALSE),"")</f>
        <v/>
      </c>
      <c r="T70" s="12" t="str">
        <f>IFERROR(VLOOKUP(G70,categorieen!$D:$E,2,FALSE),"")</f>
        <v/>
      </c>
      <c r="U70" s="12" t="str">
        <f>IFERROR(VLOOKUP(H70,categorieen!$D:$E,2,FALSE),"")</f>
        <v/>
      </c>
      <c r="V70" s="12" t="str">
        <f>IFERROR(VLOOKUP(I70,categorieen!$D:$E,2,FALSE),"")</f>
        <v/>
      </c>
      <c r="W70" s="12" t="str">
        <f>IFERROR(VLOOKUP(J70,categorieen!$D:$E,2,FALSE),"")</f>
        <v/>
      </c>
    </row>
    <row r="71" spans="1:23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 t="str">
        <f>IFERROR(VLOOKUP(C71,categorieen!$D:$E,2,FALSE),"")</f>
        <v>1 van de 8</v>
      </c>
      <c r="Q71" s="12" t="str">
        <f>IFERROR(VLOOKUP(D71,categorieen!$D:$E,2,FALSE),"")</f>
        <v>7 letters</v>
      </c>
      <c r="R71" s="12" t="str">
        <f>IFERROR(VLOOKUP(E71,categorieen!$D:$E,2,FALSE),"")</f>
        <v>Eindigt op el</v>
      </c>
      <c r="S71" s="12" t="str">
        <f>IFERROR(VLOOKUP(F71,categorieen!$D:$E,2,FALSE),"")</f>
        <v/>
      </c>
      <c r="T71" s="12" t="str">
        <f>IFERROR(VLOOKUP(G71,categorieen!$D:$E,2,FALSE),"")</f>
        <v/>
      </c>
      <c r="U71" s="12" t="str">
        <f>IFERROR(VLOOKUP(H71,categorieen!$D:$E,2,FALSE),"")</f>
        <v/>
      </c>
      <c r="V71" s="12" t="str">
        <f>IFERROR(VLOOKUP(I71,categorieen!$D:$E,2,FALSE),"")</f>
        <v/>
      </c>
      <c r="W71" s="12" t="str">
        <f>IFERROR(VLOOKUP(J71,categorieen!$D:$E,2,FALSE),"")</f>
        <v/>
      </c>
    </row>
    <row r="72" spans="1:23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/>
      <c r="N72" s="12"/>
      <c r="O72" s="12"/>
      <c r="P72" s="12" t="str">
        <f>IFERROR(VLOOKUP(C72,categorieen!$D:$E,2,FALSE),"")</f>
        <v>Alaaf</v>
      </c>
      <c r="Q72" s="12" t="str">
        <f>IFERROR(VLOOKUP(D72,categorieen!$D:$E,2,FALSE),"")</f>
        <v>Tilburg</v>
      </c>
      <c r="R72" s="12" t="str">
        <f>IFERROR(VLOOKUP(E72,categorieen!$D:$E,2,FALSE),"")</f>
        <v>3x dezelfde letter</v>
      </c>
      <c r="S72" s="12" t="str">
        <f>IFERROR(VLOOKUP(F72,categorieen!$D:$E,2,FALSE),"")</f>
        <v>In de volksmond (IDV)</v>
      </c>
      <c r="T72" s="12" t="str">
        <f>IFERROR(VLOOKUP(G72,categorieen!$D:$E,2,FALSE),"")</f>
        <v>(stand)beeld / (Rijks)monument</v>
      </c>
      <c r="U72" s="12" t="str">
        <f>IFERROR(VLOOKUP(H72,categorieen!$D:$E,2,FALSE),"")</f>
        <v/>
      </c>
      <c r="V72" s="12" t="str">
        <f>IFERROR(VLOOKUP(I72,categorieen!$D:$E,2,FALSE),"")</f>
        <v/>
      </c>
      <c r="W72" s="12" t="str">
        <f>IFERROR(VLOOKUP(J72,categorieen!$D:$E,2,FALSE),"")</f>
        <v/>
      </c>
    </row>
    <row r="73" spans="1:23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/>
      <c r="N73" s="12"/>
      <c r="O73" s="12"/>
      <c r="P73" s="12" t="str">
        <f>IFERROR(VLOOKUP(C73,categorieen!$D:$E,2,FALSE),"")</f>
        <v>3 of 4 letters</v>
      </c>
      <c r="Q73" s="12" t="str">
        <f>IFERROR(VLOOKUP(D73,categorieen!$D:$E,2,FALSE),"")</f>
        <v>Parel in het Groen (PITG)</v>
      </c>
      <c r="R73" s="12" t="str">
        <f>IFERROR(VLOOKUP(E73,categorieen!$D:$E,2,FALSE),"")</f>
        <v>Dierlijk</v>
      </c>
      <c r="S73" s="12" t="str">
        <f>IFERROR(VLOOKUP(F73,categorieen!$D:$E,2,FALSE),"")</f>
        <v>Festival</v>
      </c>
      <c r="T73" s="12" t="str">
        <f>IFERROR(VLOOKUP(G73,categorieen!$D:$E,2,FALSE),"")</f>
        <v>(stand)beeld / (Rijks)monument</v>
      </c>
      <c r="U73" s="12" t="str">
        <f>IFERROR(VLOOKUP(H73,categorieen!$D:$E,2,FALSE),"")</f>
        <v/>
      </c>
      <c r="V73" s="12" t="str">
        <f>IFERROR(VLOOKUP(I73,categorieen!$D:$E,2,FALSE),"")</f>
        <v/>
      </c>
      <c r="W73" s="12" t="str">
        <f>IFERROR(VLOOKUP(J73,categorieen!$D:$E,2,FALSE),"")</f>
        <v/>
      </c>
    </row>
    <row r="74" spans="1:23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 t="str">
        <f>IFERROR(VLOOKUP(C74,categorieen!$D:$E,2,FALSE),"")</f>
        <v>Alaaf</v>
      </c>
      <c r="Q74" s="12" t="str">
        <f>IFERROR(VLOOKUP(D74,categorieen!$D:$E,2,FALSE),"")</f>
        <v>040 (Eindhoven)</v>
      </c>
      <c r="R74" s="12" t="str">
        <f>IFERROR(VLOOKUP(E74,categorieen!$D:$E,2,FALSE),"")</f>
        <v>Typisch Brabants (TB)</v>
      </c>
      <c r="S74" s="12" t="str">
        <f>IFERROR(VLOOKUP(F74,categorieen!$D:$E,2,FALSE),"")</f>
        <v/>
      </c>
      <c r="T74" s="12" t="str">
        <f>IFERROR(VLOOKUP(G74,categorieen!$D:$E,2,FALSE),"")</f>
        <v/>
      </c>
      <c r="U74" s="12" t="str">
        <f>IFERROR(VLOOKUP(H74,categorieen!$D:$E,2,FALSE),"")</f>
        <v/>
      </c>
      <c r="V74" s="12" t="str">
        <f>IFERROR(VLOOKUP(I74,categorieen!$D:$E,2,FALSE),"")</f>
        <v/>
      </c>
      <c r="W74" s="12" t="str">
        <f>IFERROR(VLOOKUP(J74,categorieen!$D:$E,2,FALSE),"")</f>
        <v/>
      </c>
    </row>
    <row r="75" spans="1:23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/>
      <c r="N75" s="12"/>
      <c r="O75" s="12"/>
      <c r="P75" s="12" t="str">
        <f>IFERROR(VLOOKUP(C75,categorieen!$D:$E,2,FALSE),"")</f>
        <v>3x dezelfde letter</v>
      </c>
      <c r="Q75" s="12" t="str">
        <f>IFERROR(VLOOKUP(D75,categorieen!$D:$E,2,FALSE),"")</f>
        <v>Eten en Drinken (ED)</v>
      </c>
      <c r="R75" s="12" t="str">
        <f>IFERROR(VLOOKUP(E75,categorieen!$D:$E,2,FALSE),"")</f>
        <v>Parel in het Groen (PITG)</v>
      </c>
      <c r="S75" s="12" t="str">
        <f>IFERROR(VLOOKUP(F75,categorieen!$D:$E,2,FALSE),"")</f>
        <v>Met ie</v>
      </c>
      <c r="T75" s="12" t="str">
        <f>IFERROR(VLOOKUP(G75,categorieen!$D:$E,2,FALSE),"")</f>
        <v>Plein</v>
      </c>
      <c r="U75" s="12" t="str">
        <f>IFERROR(VLOOKUP(H75,categorieen!$D:$E,2,FALSE),"")</f>
        <v/>
      </c>
      <c r="V75" s="12" t="str">
        <f>IFERROR(VLOOKUP(I75,categorieen!$D:$E,2,FALSE),"")</f>
        <v/>
      </c>
      <c r="W75" s="12" t="str">
        <f>IFERROR(VLOOKUP(J75,categorieen!$D:$E,2,FALSE),"")</f>
        <v/>
      </c>
    </row>
    <row r="76" spans="1:23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/>
      <c r="N76" s="12"/>
      <c r="O76" s="12"/>
      <c r="P76" s="12" t="str">
        <f>IFERROR(VLOOKUP(C76,categorieen!$D:$E,2,FALSE),"")</f>
        <v>3 of 4 letters</v>
      </c>
      <c r="Q76" s="12" t="str">
        <f>IFERROR(VLOOKUP(D76,categorieen!$D:$E,2,FALSE),"")</f>
        <v>076 (Breda)</v>
      </c>
      <c r="R76" s="12" t="str">
        <f>IFERROR(VLOOKUP(E76,categorieen!$D:$E,2,FALSE),"")</f>
        <v>Met ie</v>
      </c>
      <c r="S76" s="12" t="str">
        <f>IFERROR(VLOOKUP(F76,categorieen!$D:$E,2,FALSE),"")</f>
        <v>Buurtschap</v>
      </c>
      <c r="T76" s="12" t="str">
        <f>IFERROR(VLOOKUP(G76,categorieen!$D:$E,2,FALSE),"")</f>
        <v>West Brabant</v>
      </c>
      <c r="U76" s="12" t="str">
        <f>IFERROR(VLOOKUP(H76,categorieen!$D:$E,2,FALSE),"")</f>
        <v/>
      </c>
      <c r="V76" s="12" t="str">
        <f>IFERROR(VLOOKUP(I76,categorieen!$D:$E,2,FALSE),"")</f>
        <v/>
      </c>
      <c r="W76" s="12" t="str">
        <f>IFERROR(VLOOKUP(J76,categorieen!$D:$E,2,FALSE),"")</f>
        <v/>
      </c>
    </row>
    <row r="77" spans="1:23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/>
      <c r="N77" s="12"/>
      <c r="O77" s="12"/>
      <c r="P77" s="12" t="str">
        <f>IFERROR(VLOOKUP(C77,categorieen!$D:$E,2,FALSE),"")</f>
        <v>7 letters</v>
      </c>
      <c r="Q77" s="12" t="str">
        <f>IFERROR(VLOOKUP(D77,categorieen!$D:$E,2,FALSE),"")</f>
        <v>Met dubbel s</v>
      </c>
      <c r="R77" s="12" t="str">
        <f>IFERROR(VLOOKUP(E77,categorieen!$D:$E,2,FALSE),"")</f>
        <v>Met ie</v>
      </c>
      <c r="S77" s="12" t="str">
        <f>IFERROR(VLOOKUP(F77,categorieen!$D:$E,2,FALSE),"")</f>
        <v>Eerste- en Eindletter hetzelfde</v>
      </c>
      <c r="T77" s="12" t="str">
        <f>IFERROR(VLOOKUP(G77,categorieen!$D:$E,2,FALSE),"")</f>
        <v>Eindigt op el</v>
      </c>
      <c r="U77" s="12" t="str">
        <f>IFERROR(VLOOKUP(H77,categorieen!$D:$E,2,FALSE),"")</f>
        <v/>
      </c>
      <c r="V77" s="12" t="str">
        <f>IFERROR(VLOOKUP(I77,categorieen!$D:$E,2,FALSE),"")</f>
        <v/>
      </c>
      <c r="W77" s="12" t="str">
        <f>IFERROR(VLOOKUP(J77,categorieen!$D:$E,2,FALSE),"")</f>
        <v/>
      </c>
    </row>
    <row r="78" spans="1:23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/>
      <c r="N78" s="12"/>
      <c r="O78" s="12"/>
      <c r="P78" s="12" t="str">
        <f>IFERROR(VLOOKUP(C78,categorieen!$D:$E,2,FALSE),"")</f>
        <v>Met dubbel T</v>
      </c>
      <c r="Q78" s="12" t="str">
        <f>IFERROR(VLOOKUP(D78,categorieen!$D:$E,2,FALSE),"")</f>
        <v>Vught</v>
      </c>
      <c r="R78" s="12" t="str">
        <f>IFERROR(VLOOKUP(E78,categorieen!$D:$E,2,FALSE),"")</f>
        <v>(stand)beeld / (Rijks)monument</v>
      </c>
      <c r="S78" s="12" t="str">
        <f>IFERROR(VLOOKUP(F78,categorieen!$D:$E,2,FALSE),"")</f>
        <v>076 (Breda)</v>
      </c>
      <c r="T78" s="12" t="str">
        <f>IFERROR(VLOOKUP(G78,categorieen!$D:$E,2,FALSE),"")</f>
        <v>(stand)beeld / (Rijks)monument</v>
      </c>
      <c r="U78" s="12" t="str">
        <f>IFERROR(VLOOKUP(H78,categorieen!$D:$E,2,FALSE),"")</f>
        <v/>
      </c>
      <c r="V78" s="12" t="str">
        <f>IFERROR(VLOOKUP(I78,categorieen!$D:$E,2,FALSE),"")</f>
        <v/>
      </c>
      <c r="W78" s="12" t="str">
        <f>IFERROR(VLOOKUP(J78,categorieen!$D:$E,2,FALSE),"")</f>
        <v/>
      </c>
    </row>
    <row r="79" spans="1:23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/>
      <c r="N79" s="12"/>
      <c r="O79" s="12"/>
      <c r="P79" s="12" t="str">
        <f>IFERROR(VLOOKUP(C79,categorieen!$D:$E,2,FALSE),"")</f>
        <v>7 letters</v>
      </c>
      <c r="Q79" s="12" t="str">
        <f>IFERROR(VLOOKUP(D79,categorieen!$D:$E,2,FALSE),"")</f>
        <v>Kasteel</v>
      </c>
      <c r="R79" s="12" t="str">
        <f>IFERROR(VLOOKUP(E79,categorieen!$D:$E,2,FALSE),"")</f>
        <v>Vught</v>
      </c>
      <c r="S79" s="12" t="str">
        <f>IFERROR(VLOOKUP(F79,categorieen!$D:$E,2,FALSE),"")</f>
        <v>Eten en Drinken (ED)</v>
      </c>
      <c r="T79" s="12" t="str">
        <f>IFERROR(VLOOKUP(G79,categorieen!$D:$E,2,FALSE),"")</f>
        <v>(stand)beeld / (Rijks)monument</v>
      </c>
      <c r="U79" s="12" t="str">
        <f>IFERROR(VLOOKUP(H79,categorieen!$D:$E,2,FALSE),"")</f>
        <v/>
      </c>
      <c r="V79" s="12" t="str">
        <f>IFERROR(VLOOKUP(I79,categorieen!$D:$E,2,FALSE),"")</f>
        <v/>
      </c>
      <c r="W79" s="12" t="str">
        <f>IFERROR(VLOOKUP(J79,categorieen!$D:$E,2,FALSE),"")</f>
        <v/>
      </c>
    </row>
    <row r="80" spans="1:23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/>
      <c r="N80" s="12"/>
      <c r="O80" s="12"/>
      <c r="P80" s="12" t="str">
        <f>IFERROR(VLOOKUP(C80,categorieen!$D:$E,2,FALSE),"")</f>
        <v>Sport</v>
      </c>
      <c r="Q80" s="12" t="str">
        <f>IFERROR(VLOOKUP(D80,categorieen!$D:$E,2,FALSE),"")</f>
        <v>Bekende Brabanders</v>
      </c>
      <c r="R80" s="12" t="str">
        <f>IFERROR(VLOOKUP(E80,categorieen!$D:$E,2,FALSE),"")</f>
        <v>3x dezelfde letter</v>
      </c>
      <c r="S80" s="12" t="str">
        <f>IFERROR(VLOOKUP(F80,categorieen!$D:$E,2,FALSE),"")</f>
        <v>Kleurrijk</v>
      </c>
      <c r="T80" s="12" t="str">
        <f>IFERROR(VLOOKUP(G80,categorieen!$D:$E,2,FALSE),"")</f>
        <v/>
      </c>
      <c r="U80" s="12" t="str">
        <f>IFERROR(VLOOKUP(H80,categorieen!$D:$E,2,FALSE),"")</f>
        <v/>
      </c>
      <c r="V80" s="12" t="str">
        <f>IFERROR(VLOOKUP(I80,categorieen!$D:$E,2,FALSE),"")</f>
        <v/>
      </c>
      <c r="W80" s="12" t="str">
        <f>IFERROR(VLOOKUP(J80,categorieen!$D:$E,2,FALSE),"")</f>
        <v/>
      </c>
    </row>
    <row r="81" spans="1:23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>
        <v>37</v>
      </c>
      <c r="N81" s="12"/>
      <c r="O81" s="12"/>
      <c r="P81" s="12" t="str">
        <f>IFERROR(VLOOKUP(C81,categorieen!$D:$E,2,FALSE),"")</f>
        <v>Natuur</v>
      </c>
      <c r="Q81" s="12" t="str">
        <f>IFERROR(VLOOKUP(D81,categorieen!$D:$E,2,FALSE),"")</f>
        <v>s Hertogenbosch (DB)</v>
      </c>
      <c r="R81" s="12" t="str">
        <f>IFERROR(VLOOKUP(E81,categorieen!$D:$E,2,FALSE),"")</f>
        <v>Met dubbel T</v>
      </c>
      <c r="S81" s="12" t="str">
        <f>IFERROR(VLOOKUP(F81,categorieen!$D:$E,2,FALSE),"")</f>
        <v>Water</v>
      </c>
      <c r="T81" s="12" t="str">
        <f>IFERROR(VLOOKUP(G81,categorieen!$D:$E,2,FALSE),"")</f>
        <v/>
      </c>
      <c r="U81" s="12" t="str">
        <f>IFERROR(VLOOKUP(H81,categorieen!$D:$E,2,FALSE),"")</f>
        <v/>
      </c>
      <c r="V81" s="12" t="str">
        <f>IFERROR(VLOOKUP(I81,categorieen!$D:$E,2,FALSE),"")</f>
        <v/>
      </c>
      <c r="W81" s="12" t="str">
        <f>IFERROR(VLOOKUP(J81,categorieen!$D:$E,2,FALSE),"")</f>
        <v/>
      </c>
    </row>
    <row r="82" spans="1:23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/>
      <c r="N82" s="12"/>
      <c r="O82" s="12"/>
      <c r="P82" s="12" t="str">
        <f>IFERROR(VLOOKUP(C82,categorieen!$D:$E,2,FALSE),"")</f>
        <v>3 of 4 letters</v>
      </c>
      <c r="Q82" s="12" t="str">
        <f>IFERROR(VLOOKUP(D82,categorieen!$D:$E,2,FALSE),"")</f>
        <v>Sport</v>
      </c>
      <c r="R82" s="12" t="str">
        <f>IFERROR(VLOOKUP(E82,categorieen!$D:$E,2,FALSE),"")</f>
        <v>076 (Breda)</v>
      </c>
      <c r="S82" s="12" t="str">
        <f>IFERROR(VLOOKUP(F82,categorieen!$D:$E,2,FALSE),"")</f>
        <v>Begint met N</v>
      </c>
      <c r="T82" s="12" t="str">
        <f>IFERROR(VLOOKUP(G82,categorieen!$D:$E,2,FALSE),"")</f>
        <v/>
      </c>
      <c r="U82" s="12" t="str">
        <f>IFERROR(VLOOKUP(H82,categorieen!$D:$E,2,FALSE),"")</f>
        <v/>
      </c>
      <c r="V82" s="12" t="str">
        <f>IFERROR(VLOOKUP(I82,categorieen!$D:$E,2,FALSE),"")</f>
        <v/>
      </c>
      <c r="W82" s="12" t="str">
        <f>IFERROR(VLOOKUP(J82,categorieen!$D:$E,2,FALSE),"")</f>
        <v/>
      </c>
    </row>
    <row r="83" spans="1:23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/>
      <c r="N83" s="12"/>
      <c r="O83" s="12"/>
      <c r="P83" s="12" t="str">
        <f>IFERROR(VLOOKUP(C83,categorieen!$D:$E,2,FALSE),"")</f>
        <v>Kasteel</v>
      </c>
      <c r="Q83" s="12" t="str">
        <f>IFERROR(VLOOKUP(D83,categorieen!$D:$E,2,FALSE),"")</f>
        <v>Begint met N</v>
      </c>
      <c r="R83" s="12" t="str">
        <f>IFERROR(VLOOKUP(E83,categorieen!$D:$E,2,FALSE),"")</f>
        <v>(stand)beeld / (Rijks)monument</v>
      </c>
      <c r="S83" s="12" t="str">
        <f>IFERROR(VLOOKUP(F83,categorieen!$D:$E,2,FALSE),"")</f>
        <v>3x dezelfde letter</v>
      </c>
      <c r="T83" s="12" t="str">
        <f>IFERROR(VLOOKUP(G83,categorieen!$D:$E,2,FALSE),"")</f>
        <v>Water</v>
      </c>
      <c r="U83" s="12" t="str">
        <f>IFERROR(VLOOKUP(H83,categorieen!$D:$E,2,FALSE),"")</f>
        <v/>
      </c>
      <c r="V83" s="12" t="str">
        <f>IFERROR(VLOOKUP(I83,categorieen!$D:$E,2,FALSE),"")</f>
        <v/>
      </c>
      <c r="W83" s="12" t="str">
        <f>IFERROR(VLOOKUP(J83,categorieen!$D:$E,2,FALSE),"")</f>
        <v/>
      </c>
    </row>
    <row r="84" spans="1:23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/>
      <c r="N84" s="12"/>
      <c r="O84" s="12"/>
      <c r="P84" s="12" t="str">
        <f>IFERROR(VLOOKUP(C84,categorieen!$D:$E,2,FALSE),"")</f>
        <v>Begint met N</v>
      </c>
      <c r="Q84" s="12" t="str">
        <f>IFERROR(VLOOKUP(D84,categorieen!$D:$E,2,FALSE),"")</f>
        <v>West Brabant</v>
      </c>
      <c r="R84" s="12" t="str">
        <f>IFERROR(VLOOKUP(E84,categorieen!$D:$E,2,FALSE),"")</f>
        <v>Met ie</v>
      </c>
      <c r="S84" s="12" t="str">
        <f>IFERROR(VLOOKUP(F84,categorieen!$D:$E,2,FALSE),"")</f>
        <v>Dierlijk</v>
      </c>
      <c r="T84" s="12" t="str">
        <f>IFERROR(VLOOKUP(G84,categorieen!$D:$E,2,FALSE),"")</f>
        <v>Water</v>
      </c>
      <c r="U84" s="12" t="str">
        <f>IFERROR(VLOOKUP(H84,categorieen!$D:$E,2,FALSE),"")</f>
        <v>Met dubbel s</v>
      </c>
      <c r="V84" s="12" t="str">
        <f>IFERROR(VLOOKUP(I84,categorieen!$D:$E,2,FALSE),"")</f>
        <v/>
      </c>
      <c r="W84" s="12" t="str">
        <f>IFERROR(VLOOKUP(J84,categorieen!$D:$E,2,FALSE),"")</f>
        <v/>
      </c>
    </row>
    <row r="85" spans="1:23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>
        <v>23</v>
      </c>
      <c r="N85" s="12"/>
      <c r="O85" s="12"/>
      <c r="P85" s="12" t="str">
        <f>IFERROR(VLOOKUP(C85,categorieen!$D:$E,2,FALSE),"")</f>
        <v>Begint met N</v>
      </c>
      <c r="Q85" s="12" t="str">
        <f>IFERROR(VLOOKUP(D85,categorieen!$D:$E,2,FALSE),"")</f>
        <v>Zes letters</v>
      </c>
      <c r="R85" s="12" t="str">
        <f>IFERROR(VLOOKUP(E85,categorieen!$D:$E,2,FALSE),"")</f>
        <v>Buurtschap</v>
      </c>
      <c r="S85" s="12" t="str">
        <f>IFERROR(VLOOKUP(F85,categorieen!$D:$E,2,FALSE),"")</f>
        <v>Natuur</v>
      </c>
      <c r="T85" s="12" t="str">
        <f>IFERROR(VLOOKUP(G85,categorieen!$D:$E,2,FALSE),"")</f>
        <v/>
      </c>
      <c r="U85" s="12" t="str">
        <f>IFERROR(VLOOKUP(H85,categorieen!$D:$E,2,FALSE),"")</f>
        <v/>
      </c>
      <c r="V85" s="12" t="str">
        <f>IFERROR(VLOOKUP(I85,categorieen!$D:$E,2,FALSE),"")</f>
        <v/>
      </c>
      <c r="W85" s="12" t="str">
        <f>IFERROR(VLOOKUP(J85,categorieen!$D:$E,2,FALSE),"")</f>
        <v/>
      </c>
    </row>
    <row r="86" spans="1:23" x14ac:dyDescent="0.25">
      <c r="A86" s="12" t="s">
        <v>133</v>
      </c>
      <c r="B86" s="12"/>
      <c r="C86" s="12">
        <v>23</v>
      </c>
      <c r="D86" s="12">
        <v>27</v>
      </c>
      <c r="E86" s="12">
        <v>38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 t="str">
        <f>IFERROR(VLOOKUP(C86,categorieen!$D:$E,2,FALSE),"")</f>
        <v>Begint met N</v>
      </c>
      <c r="Q86" s="12" t="str">
        <f>IFERROR(VLOOKUP(D86,categorieen!$D:$E,2,FALSE),"")</f>
        <v>Eten en Drinken (ED)</v>
      </c>
      <c r="R86" s="12" t="str">
        <f>IFERROR(VLOOKUP(E86,categorieen!$D:$E,2,FALSE),"")</f>
        <v>Sport</v>
      </c>
      <c r="S86" s="12" t="str">
        <f>IFERROR(VLOOKUP(F86,categorieen!$D:$E,2,FALSE),"")</f>
        <v/>
      </c>
      <c r="T86" s="12" t="str">
        <f>IFERROR(VLOOKUP(G86,categorieen!$D:$E,2,FALSE),"")</f>
        <v/>
      </c>
      <c r="U86" s="12" t="str">
        <f>IFERROR(VLOOKUP(H86,categorieen!$D:$E,2,FALSE),"")</f>
        <v/>
      </c>
      <c r="V86" s="12" t="str">
        <f>IFERROR(VLOOKUP(I86,categorieen!$D:$E,2,FALSE),"")</f>
        <v/>
      </c>
      <c r="W86" s="12" t="str">
        <f>IFERROR(VLOOKUP(J86,categorieen!$D:$E,2,FALSE),"")</f>
        <v/>
      </c>
    </row>
    <row r="87" spans="1:23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>
        <v>23</v>
      </c>
      <c r="N87" s="12"/>
      <c r="O87" s="12"/>
      <c r="P87" s="12" t="str">
        <f>IFERROR(VLOOKUP(C87,categorieen!$D:$E,2,FALSE),"")</f>
        <v>Begint met N</v>
      </c>
      <c r="Q87" s="12" t="str">
        <f>IFERROR(VLOOKUP(D87,categorieen!$D:$E,2,FALSE),"")</f>
        <v>3x dezelfde letter</v>
      </c>
      <c r="R87" s="12" t="str">
        <f>IFERROR(VLOOKUP(E87,categorieen!$D:$E,2,FALSE),"")</f>
        <v>Buurtschap</v>
      </c>
      <c r="S87" s="12" t="str">
        <f>IFERROR(VLOOKUP(F87,categorieen!$D:$E,2,FALSE),"")</f>
        <v>West Brabant</v>
      </c>
      <c r="T87" s="12" t="str">
        <f>IFERROR(VLOOKUP(G87,categorieen!$D:$E,2,FALSE),"")</f>
        <v/>
      </c>
      <c r="U87" s="12" t="str">
        <f>IFERROR(VLOOKUP(H87,categorieen!$D:$E,2,FALSE),"")</f>
        <v/>
      </c>
      <c r="V87" s="12" t="str">
        <f>IFERROR(VLOOKUP(I87,categorieen!$D:$E,2,FALSE),"")</f>
        <v/>
      </c>
      <c r="W87" s="12" t="str">
        <f>IFERROR(VLOOKUP(J87,categorieen!$D:$E,2,FALSE),"")</f>
        <v/>
      </c>
    </row>
    <row r="88" spans="1:23" x14ac:dyDescent="0.25">
      <c r="A88" s="12" t="s">
        <v>135</v>
      </c>
      <c r="B88" s="12"/>
      <c r="C88" s="12">
        <v>23</v>
      </c>
      <c r="D88" s="12">
        <v>9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>
        <v>23</v>
      </c>
      <c r="N88" s="12"/>
      <c r="O88" s="12"/>
      <c r="P88" s="12" t="str">
        <f>IFERROR(VLOOKUP(C88,categorieen!$D:$E,2,FALSE),"")</f>
        <v>Begint met N</v>
      </c>
      <c r="Q88" s="12" t="str">
        <f>IFERROR(VLOOKUP(D88,categorieen!$D:$E,2,FALSE),"")</f>
        <v>Kiosk</v>
      </c>
      <c r="R88" s="12" t="str">
        <f>IFERROR(VLOOKUP(E88,categorieen!$D:$E,2,FALSE),"")</f>
        <v>Eerste- en Eindletter hetzelfde</v>
      </c>
      <c r="S88" s="12" t="str">
        <f>IFERROR(VLOOKUP(F88,categorieen!$D:$E,2,FALSE),"")</f>
        <v>Zes letters</v>
      </c>
      <c r="T88" s="12" t="str">
        <f>IFERROR(VLOOKUP(G88,categorieen!$D:$E,2,FALSE),"")</f>
        <v/>
      </c>
      <c r="U88" s="12" t="str">
        <f>IFERROR(VLOOKUP(H88,categorieen!$D:$E,2,FALSE),"")</f>
        <v/>
      </c>
      <c r="V88" s="12" t="str">
        <f>IFERROR(VLOOKUP(I88,categorieen!$D:$E,2,FALSE),"")</f>
        <v/>
      </c>
      <c r="W88" s="12" t="str">
        <f>IFERROR(VLOOKUP(J88,categorieen!$D:$E,2,FALSE),"")</f>
        <v/>
      </c>
    </row>
    <row r="89" spans="1:23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>
        <v>37</v>
      </c>
      <c r="N89" s="12"/>
      <c r="O89" s="12"/>
      <c r="P89" s="12" t="str">
        <f>IFERROR(VLOOKUP(C89,categorieen!$D:$E,2,FALSE),"")</f>
        <v>s Hertogenbosch (DB)</v>
      </c>
      <c r="Q89" s="12" t="str">
        <f>IFERROR(VLOOKUP(D89,categorieen!$D:$E,2,FALSE),"")</f>
        <v>Water</v>
      </c>
      <c r="R89" s="12" t="str">
        <f>IFERROR(VLOOKUP(E89,categorieen!$D:$E,2,FALSE),"")</f>
        <v>Natuur</v>
      </c>
      <c r="S89" s="12" t="str">
        <f>IFERROR(VLOOKUP(F89,categorieen!$D:$E,2,FALSE),"")</f>
        <v/>
      </c>
      <c r="T89" s="12" t="str">
        <f>IFERROR(VLOOKUP(G89,categorieen!$D:$E,2,FALSE),"")</f>
        <v/>
      </c>
      <c r="U89" s="12" t="str">
        <f>IFERROR(VLOOKUP(H89,categorieen!$D:$E,2,FALSE),"")</f>
        <v/>
      </c>
      <c r="V89" s="12" t="str">
        <f>IFERROR(VLOOKUP(I89,categorieen!$D:$E,2,FALSE),"")</f>
        <v/>
      </c>
      <c r="W89" s="12" t="str">
        <f>IFERROR(VLOOKUP(J89,categorieen!$D:$E,2,FALSE),"")</f>
        <v/>
      </c>
    </row>
    <row r="90" spans="1:23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>
        <v>24</v>
      </c>
      <c r="N90" s="12"/>
      <c r="O90" s="12"/>
      <c r="P90" s="12" t="str">
        <f>IFERROR(VLOOKUP(C90,categorieen!$D:$E,2,FALSE),"")</f>
        <v>3 of 4 letters</v>
      </c>
      <c r="Q90" s="12" t="str">
        <f>IFERROR(VLOOKUP(D90,categorieen!$D:$E,2,FALSE),"")</f>
        <v>Met dubbel s</v>
      </c>
      <c r="R90" s="12" t="str">
        <f>IFERROR(VLOOKUP(E90,categorieen!$D:$E,2,FALSE),"")</f>
        <v>Dierlijk</v>
      </c>
      <c r="S90" s="12" t="str">
        <f>IFERROR(VLOOKUP(F90,categorieen!$D:$E,2,FALSE),"")</f>
        <v>Kasteel</v>
      </c>
      <c r="T90" s="12" t="str">
        <f>IFERROR(VLOOKUP(G90,categorieen!$D:$E,2,FALSE),"")</f>
        <v/>
      </c>
      <c r="U90" s="12" t="str">
        <f>IFERROR(VLOOKUP(H90,categorieen!$D:$E,2,FALSE),"")</f>
        <v/>
      </c>
      <c r="V90" s="12" t="str">
        <f>IFERROR(VLOOKUP(I90,categorieen!$D:$E,2,FALSE),"")</f>
        <v/>
      </c>
      <c r="W90" s="12" t="str">
        <f>IFERROR(VLOOKUP(J90,categorieen!$D:$E,2,FALSE),"")</f>
        <v/>
      </c>
    </row>
    <row r="91" spans="1:23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 t="str">
        <f>IFERROR(VLOOKUP(C91,categorieen!$D:$E,2,FALSE),"")</f>
        <v>Festival</v>
      </c>
      <c r="Q91" s="12" t="str">
        <f>IFERROR(VLOOKUP(D91,categorieen!$D:$E,2,FALSE),"")</f>
        <v>Eerste- en Eindletter hetzelfde</v>
      </c>
      <c r="R91" s="12" t="str">
        <f>IFERROR(VLOOKUP(E91,categorieen!$D:$E,2,FALSE),"")</f>
        <v>3x dezelfde letter</v>
      </c>
      <c r="S91" s="12" t="str">
        <f>IFERROR(VLOOKUP(F91,categorieen!$D:$E,2,FALSE),"")</f>
        <v/>
      </c>
      <c r="T91" s="12" t="str">
        <f>IFERROR(VLOOKUP(G91,categorieen!$D:$E,2,FALSE),"")</f>
        <v/>
      </c>
      <c r="U91" s="12" t="str">
        <f>IFERROR(VLOOKUP(H91,categorieen!$D:$E,2,FALSE),"")</f>
        <v/>
      </c>
      <c r="V91" s="12" t="str">
        <f>IFERROR(VLOOKUP(I91,categorieen!$D:$E,2,FALSE),"")</f>
        <v/>
      </c>
      <c r="W91" s="12" t="str">
        <f>IFERROR(VLOOKUP(J91,categorieen!$D:$E,2,FALSE),"")</f>
        <v/>
      </c>
    </row>
    <row r="92" spans="1:23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/>
      <c r="N92" s="12"/>
      <c r="O92" s="12"/>
      <c r="P92" s="12" t="str">
        <f>IFERROR(VLOOKUP(C92,categorieen!$D:$E,2,FALSE),"")</f>
        <v>Eerste- en Eindletter hetzelfde</v>
      </c>
      <c r="Q92" s="12" t="str">
        <f>IFERROR(VLOOKUP(D92,categorieen!$D:$E,2,FALSE),"")</f>
        <v>040 (Eindhoven)</v>
      </c>
      <c r="R92" s="12" t="str">
        <f>IFERROR(VLOOKUP(E92,categorieen!$D:$E,2,FALSE),"")</f>
        <v>Theater</v>
      </c>
      <c r="S92" s="12" t="str">
        <f>IFERROR(VLOOKUP(F92,categorieen!$D:$E,2,FALSE),"")</f>
        <v>Eten en Drinken (ED)</v>
      </c>
      <c r="T92" s="12" t="str">
        <f>IFERROR(VLOOKUP(G92,categorieen!$D:$E,2,FALSE),"")</f>
        <v>Plein</v>
      </c>
      <c r="U92" s="12" t="str">
        <f>IFERROR(VLOOKUP(H92,categorieen!$D:$E,2,FALSE),"")</f>
        <v/>
      </c>
      <c r="V92" s="12" t="str">
        <f>IFERROR(VLOOKUP(I92,categorieen!$D:$E,2,FALSE),"")</f>
        <v/>
      </c>
      <c r="W92" s="12" t="str">
        <f>IFERROR(VLOOKUP(J92,categorieen!$D:$E,2,FALSE),"")</f>
        <v/>
      </c>
    </row>
    <row r="93" spans="1:23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/>
      <c r="N93" s="12"/>
      <c r="O93" s="12"/>
      <c r="P93" s="12" t="str">
        <f>IFERROR(VLOOKUP(C93,categorieen!$D:$E,2,FALSE),"")</f>
        <v>Festival</v>
      </c>
      <c r="Q93" s="12" t="str">
        <f>IFERROR(VLOOKUP(D93,categorieen!$D:$E,2,FALSE),"")</f>
        <v>Eerste- en Eindletter hetzelfde</v>
      </c>
      <c r="R93" s="12" t="str">
        <f>IFERROR(VLOOKUP(E93,categorieen!$D:$E,2,FALSE),"")</f>
        <v>Kleurrijk</v>
      </c>
      <c r="S93" s="12" t="str">
        <f>IFERROR(VLOOKUP(F93,categorieen!$D:$E,2,FALSE),"")</f>
        <v>040 (Eindhoven)</v>
      </c>
      <c r="T93" s="12" t="str">
        <f>IFERROR(VLOOKUP(G93,categorieen!$D:$E,2,FALSE),"")</f>
        <v/>
      </c>
      <c r="U93" s="12" t="str">
        <f>IFERROR(VLOOKUP(H93,categorieen!$D:$E,2,FALSE),"")</f>
        <v/>
      </c>
      <c r="V93" s="12" t="str">
        <f>IFERROR(VLOOKUP(I93,categorieen!$D:$E,2,FALSE),"")</f>
        <v/>
      </c>
      <c r="W93" s="12" t="str">
        <f>IFERROR(VLOOKUP(J93,categorieen!$D:$E,2,FALSE),"")</f>
        <v/>
      </c>
    </row>
    <row r="94" spans="1:23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 t="str">
        <f>IFERROR(VLOOKUP(C94,categorieen!$D:$E,2,FALSE),"")</f>
        <v>Alaaf</v>
      </c>
      <c r="Q94" s="12" t="str">
        <f>IFERROR(VLOOKUP(D94,categorieen!$D:$E,2,FALSE),"")</f>
        <v>Zes letters</v>
      </c>
      <c r="R94" s="12" t="str">
        <f>IFERROR(VLOOKUP(E94,categorieen!$D:$E,2,FALSE),"")</f>
        <v>In de volksmond (IDV)</v>
      </c>
      <c r="S94" s="12" t="str">
        <f>IFERROR(VLOOKUP(F94,categorieen!$D:$E,2,FALSE),"")</f>
        <v/>
      </c>
      <c r="T94" s="12" t="str">
        <f>IFERROR(VLOOKUP(G94,categorieen!$D:$E,2,FALSE),"")</f>
        <v/>
      </c>
      <c r="U94" s="12" t="str">
        <f>IFERROR(VLOOKUP(H94,categorieen!$D:$E,2,FALSE),"")</f>
        <v/>
      </c>
      <c r="V94" s="12" t="str">
        <f>IFERROR(VLOOKUP(I94,categorieen!$D:$E,2,FALSE),"")</f>
        <v/>
      </c>
      <c r="W94" s="12" t="str">
        <f>IFERROR(VLOOKUP(J94,categorieen!$D:$E,2,FALSE),"")</f>
        <v/>
      </c>
    </row>
    <row r="95" spans="1:23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 t="str">
        <f>IFERROR(VLOOKUP(C95,categorieen!$D:$E,2,FALSE),"")</f>
        <v>In de volksmond (IDV)</v>
      </c>
      <c r="Q95" s="12" t="str">
        <f>IFERROR(VLOOKUP(D95,categorieen!$D:$E,2,FALSE),"")</f>
        <v>Alaaf</v>
      </c>
      <c r="R95" s="12" t="str">
        <f>IFERROR(VLOOKUP(E95,categorieen!$D:$E,2,FALSE),"")</f>
        <v>Typisch Brabants (TB)</v>
      </c>
      <c r="S95" s="12" t="str">
        <f>IFERROR(VLOOKUP(F95,categorieen!$D:$E,2,FALSE),"")</f>
        <v/>
      </c>
      <c r="T95" s="12" t="str">
        <f>IFERROR(VLOOKUP(G95,categorieen!$D:$E,2,FALSE),"")</f>
        <v/>
      </c>
      <c r="U95" s="12" t="str">
        <f>IFERROR(VLOOKUP(H95,categorieen!$D:$E,2,FALSE),"")</f>
        <v/>
      </c>
      <c r="V95" s="12" t="str">
        <f>IFERROR(VLOOKUP(I95,categorieen!$D:$E,2,FALSE),"")</f>
        <v/>
      </c>
      <c r="W95" s="12" t="str">
        <f>IFERROR(VLOOKUP(J95,categorieen!$D:$E,2,FALSE),"")</f>
        <v/>
      </c>
    </row>
    <row r="96" spans="1:23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/>
      <c r="N96" s="12"/>
      <c r="O96" s="12"/>
      <c r="P96" s="12" t="str">
        <f>IFERROR(VLOOKUP(C96,categorieen!$D:$E,2,FALSE),"")</f>
        <v>Heilige</v>
      </c>
      <c r="Q96" s="12" t="str">
        <f>IFERROR(VLOOKUP(D96,categorieen!$D:$E,2,FALSE),"")</f>
        <v>Tilburg</v>
      </c>
      <c r="R96" s="12" t="str">
        <f>IFERROR(VLOOKUP(E96,categorieen!$D:$E,2,FALSE),"")</f>
        <v>3x dezelfde letter</v>
      </c>
      <c r="S96" s="12" t="str">
        <f>IFERROR(VLOOKUP(F96,categorieen!$D:$E,2,FALSE),"")</f>
        <v>Vught</v>
      </c>
      <c r="T96" s="12" t="str">
        <f>IFERROR(VLOOKUP(G96,categorieen!$D:$E,2,FALSE),"")</f>
        <v>076 (Breda)</v>
      </c>
      <c r="U96" s="12" t="str">
        <f>IFERROR(VLOOKUP(H96,categorieen!$D:$E,2,FALSE),"")</f>
        <v/>
      </c>
      <c r="V96" s="12" t="str">
        <f>IFERROR(VLOOKUP(I96,categorieen!$D:$E,2,FALSE),"")</f>
        <v/>
      </c>
      <c r="W96" s="12" t="str">
        <f>IFERROR(VLOOKUP(J96,categorieen!$D:$E,2,FALSE),"")</f>
        <v/>
      </c>
    </row>
    <row r="97" spans="1:23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/>
      <c r="N97" s="12"/>
      <c r="O97" s="12"/>
      <c r="P97" s="12" t="str">
        <f>IFERROR(VLOOKUP(C97,categorieen!$D:$E,2,FALSE),"")</f>
        <v>Sport</v>
      </c>
      <c r="Q97" s="12" t="str">
        <f>IFERROR(VLOOKUP(D97,categorieen!$D:$E,2,FALSE),"")</f>
        <v>3x dezelfde letter</v>
      </c>
      <c r="R97" s="12" t="str">
        <f>IFERROR(VLOOKUP(E97,categorieen!$D:$E,2,FALSE),"")</f>
        <v>Willem II</v>
      </c>
      <c r="S97" s="12" t="str">
        <f>IFERROR(VLOOKUP(F97,categorieen!$D:$E,2,FALSE),"")</f>
        <v>Met dubbel s</v>
      </c>
      <c r="T97" s="12" t="str">
        <f>IFERROR(VLOOKUP(G97,categorieen!$D:$E,2,FALSE),"")</f>
        <v>Dierlijk</v>
      </c>
      <c r="U97" s="12" t="str">
        <f>IFERROR(VLOOKUP(H97,categorieen!$D:$E,2,FALSE),"")</f>
        <v>Met ie</v>
      </c>
      <c r="V97" s="12" t="str">
        <f>IFERROR(VLOOKUP(I97,categorieen!$D:$E,2,FALSE),"")</f>
        <v/>
      </c>
      <c r="W97" s="12" t="str">
        <f>IFERROR(VLOOKUP(J97,categorieen!$D:$E,2,FALSE),"")</f>
        <v/>
      </c>
    </row>
    <row r="98" spans="1:23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>
        <v>36</v>
      </c>
      <c r="N98" s="12"/>
      <c r="O98" s="12"/>
      <c r="P98" s="12" t="str">
        <f>IFERROR(VLOOKUP(C98,categorieen!$D:$E,2,FALSE),"")</f>
        <v>Getal/Cijfer</v>
      </c>
      <c r="Q98" s="12" t="str">
        <f>IFERROR(VLOOKUP(D98,categorieen!$D:$E,2,FALSE),"")</f>
        <v>Plein</v>
      </c>
      <c r="R98" s="12" t="str">
        <f>IFERROR(VLOOKUP(E98,categorieen!$D:$E,2,FALSE),"")</f>
        <v>Kiosk</v>
      </c>
      <c r="S98" s="12" t="str">
        <f>IFERROR(VLOOKUP(F98,categorieen!$D:$E,2,FALSE),"")</f>
        <v>Tilburg</v>
      </c>
      <c r="T98" s="12" t="str">
        <f>IFERROR(VLOOKUP(G98,categorieen!$D:$E,2,FALSE),"")</f>
        <v/>
      </c>
      <c r="U98" s="12" t="str">
        <f>IFERROR(VLOOKUP(H98,categorieen!$D:$E,2,FALSE),"")</f>
        <v/>
      </c>
      <c r="V98" s="12" t="str">
        <f>IFERROR(VLOOKUP(I98,categorieen!$D:$E,2,FALSE),"")</f>
        <v/>
      </c>
      <c r="W98" s="12" t="str">
        <f>IFERROR(VLOOKUP(J98,categorieen!$D:$E,2,FALSE),"")</f>
        <v/>
      </c>
    </row>
    <row r="99" spans="1:23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 t="str">
        <f>IFERROR(VLOOKUP(C99,categorieen!$D:$E,2,FALSE),"")</f>
        <v>Alaaf</v>
      </c>
      <c r="Q99" s="12" t="str">
        <f>IFERROR(VLOOKUP(D99,categorieen!$D:$E,2,FALSE),"")</f>
        <v>Typisch Brabants (TB)</v>
      </c>
      <c r="R99" s="12" t="str">
        <f>IFERROR(VLOOKUP(E99,categorieen!$D:$E,2,FALSE),"")</f>
        <v>In de volksmond (IDV)</v>
      </c>
      <c r="S99" s="12" t="str">
        <f>IFERROR(VLOOKUP(F99,categorieen!$D:$E,2,FALSE),"")</f>
        <v/>
      </c>
      <c r="T99" s="12" t="str">
        <f>IFERROR(VLOOKUP(G99,categorieen!$D:$E,2,FALSE),"")</f>
        <v/>
      </c>
      <c r="U99" s="12" t="str">
        <f>IFERROR(VLOOKUP(H99,categorieen!$D:$E,2,FALSE),"")</f>
        <v/>
      </c>
      <c r="V99" s="12" t="str">
        <f>IFERROR(VLOOKUP(I99,categorieen!$D:$E,2,FALSE),"")</f>
        <v/>
      </c>
      <c r="W99" s="12" t="str">
        <f>IFERROR(VLOOKUP(J99,categorieen!$D:$E,2,FALSE),"")</f>
        <v/>
      </c>
    </row>
    <row r="100" spans="1:23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/>
      <c r="N100" s="12"/>
      <c r="O100" s="12"/>
      <c r="P100" s="12" t="str">
        <f>IFERROR(VLOOKUP(C100,categorieen!$D:$E,2,FALSE),"")</f>
        <v>Bekende Brabanders</v>
      </c>
      <c r="Q100" s="12" t="str">
        <f>IFERROR(VLOOKUP(D100,categorieen!$D:$E,2,FALSE),"")</f>
        <v>Alaaf</v>
      </c>
      <c r="R100" s="12" t="str">
        <f>IFERROR(VLOOKUP(E100,categorieen!$D:$E,2,FALSE),"")</f>
        <v>040 (Eindhoven)</v>
      </c>
      <c r="S100" s="12" t="str">
        <f>IFERROR(VLOOKUP(F100,categorieen!$D:$E,2,FALSE),"")</f>
        <v>Dierlijk</v>
      </c>
      <c r="T100" s="12" t="str">
        <f>IFERROR(VLOOKUP(G100,categorieen!$D:$E,2,FALSE),"")</f>
        <v>7 letters</v>
      </c>
      <c r="U100" s="12" t="str">
        <f>IFERROR(VLOOKUP(H100,categorieen!$D:$E,2,FALSE),"")</f>
        <v/>
      </c>
      <c r="V100" s="12" t="str">
        <f>IFERROR(VLOOKUP(I100,categorieen!$D:$E,2,FALSE),"")</f>
        <v/>
      </c>
      <c r="W100" s="12" t="str">
        <f>IFERROR(VLOOKUP(J100,categorieen!$D:$E,2,FALSE),"")</f>
        <v/>
      </c>
    </row>
    <row r="101" spans="1:23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 t="str">
        <f>IFERROR(VLOOKUP(C101,categorieen!$D:$E,2,FALSE),"")</f>
        <v>Eten en Drinken (ED)</v>
      </c>
      <c r="Q101" s="12" t="str">
        <f>IFERROR(VLOOKUP(D101,categorieen!$D:$E,2,FALSE),"")</f>
        <v>Met dubbel s</v>
      </c>
      <c r="R101" s="12" t="str">
        <f>IFERROR(VLOOKUP(E101,categorieen!$D:$E,2,FALSE),"")</f>
        <v>7 letters</v>
      </c>
      <c r="S101" s="12" t="str">
        <f>IFERROR(VLOOKUP(F101,categorieen!$D:$E,2,FALSE),"")</f>
        <v/>
      </c>
      <c r="T101" s="12" t="str">
        <f>IFERROR(VLOOKUP(G101,categorieen!$D:$E,2,FALSE),"")</f>
        <v/>
      </c>
      <c r="U101" s="12" t="str">
        <f>IFERROR(VLOOKUP(H101,categorieen!$D:$E,2,FALSE),"")</f>
        <v/>
      </c>
      <c r="V101" s="12" t="str">
        <f>IFERROR(VLOOKUP(I101,categorieen!$D:$E,2,FALSE),"")</f>
        <v/>
      </c>
      <c r="W101" s="12" t="str">
        <f>IFERROR(VLOOKUP(J101,categorieen!$D:$E,2,FALSE),"")</f>
        <v/>
      </c>
    </row>
    <row r="102" spans="1:23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/>
      <c r="N102" s="12"/>
      <c r="O102" s="12"/>
      <c r="P102" s="12" t="str">
        <f>IFERROR(VLOOKUP(C102,categorieen!$D:$E,2,FALSE),"")</f>
        <v>Willem II</v>
      </c>
      <c r="Q102" s="12" t="str">
        <f>IFERROR(VLOOKUP(D102,categorieen!$D:$E,2,FALSE),"")</f>
        <v>Sport</v>
      </c>
      <c r="R102" s="12" t="str">
        <f>IFERROR(VLOOKUP(E102,categorieen!$D:$E,2,FALSE),"")</f>
        <v>3x dezelfde letter</v>
      </c>
      <c r="S102" s="12" t="str">
        <f>IFERROR(VLOOKUP(F102,categorieen!$D:$E,2,FALSE),"")</f>
        <v>Hilvarenbeek</v>
      </c>
      <c r="T102" s="12" t="str">
        <f>IFERROR(VLOOKUP(G102,categorieen!$D:$E,2,FALSE),"")</f>
        <v/>
      </c>
      <c r="U102" s="12" t="str">
        <f>IFERROR(VLOOKUP(H102,categorieen!$D:$E,2,FALSE),"")</f>
        <v/>
      </c>
      <c r="V102" s="12" t="str">
        <f>IFERROR(VLOOKUP(I102,categorieen!$D:$E,2,FALSE),"")</f>
        <v/>
      </c>
      <c r="W102" s="12" t="str">
        <f>IFERROR(VLOOKUP(J102,categorieen!$D:$E,2,FALSE),"")</f>
        <v/>
      </c>
    </row>
    <row r="103" spans="1:23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/>
      <c r="N103" s="12"/>
      <c r="O103" s="12"/>
      <c r="P103" s="12" t="str">
        <f>IFERROR(VLOOKUP(C103,categorieen!$D:$E,2,FALSE),"")</f>
        <v>3 of 4 letters</v>
      </c>
      <c r="Q103" s="12" t="str">
        <f>IFERROR(VLOOKUP(D103,categorieen!$D:$E,2,FALSE),"")</f>
        <v>In de volksmond (IDV)</v>
      </c>
      <c r="R103" s="12" t="str">
        <f>IFERROR(VLOOKUP(E103,categorieen!$D:$E,2,FALSE),"")</f>
        <v>Heilige</v>
      </c>
      <c r="S103" s="12" t="str">
        <f>IFERROR(VLOOKUP(F103,categorieen!$D:$E,2,FALSE),"")</f>
        <v>Kleurrijk</v>
      </c>
      <c r="T103" s="12" t="str">
        <f>IFERROR(VLOOKUP(G103,categorieen!$D:$E,2,FALSE),"")</f>
        <v/>
      </c>
      <c r="U103" s="12" t="str">
        <f>IFERROR(VLOOKUP(H103,categorieen!$D:$E,2,FALSE),"")</f>
        <v/>
      </c>
      <c r="V103" s="12" t="str">
        <f>IFERROR(VLOOKUP(I103,categorieen!$D:$E,2,FALSE),"")</f>
        <v/>
      </c>
      <c r="W103" s="12" t="str">
        <f>IFERROR(VLOOKUP(J103,categorieen!$D:$E,2,FALSE),"")</f>
        <v/>
      </c>
    </row>
    <row r="104" spans="1:23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>
        <v>31</v>
      </c>
      <c r="N104" s="12"/>
      <c r="O104" s="12"/>
      <c r="P104" s="12" t="str">
        <f>IFERROR(VLOOKUP(C104,categorieen!$D:$E,2,FALSE),"")</f>
        <v>Tilburg</v>
      </c>
      <c r="Q104" s="12" t="str">
        <f>IFERROR(VLOOKUP(D104,categorieen!$D:$E,2,FALSE),"")</f>
        <v>3x dezelfde letter</v>
      </c>
      <c r="R104" s="12" t="str">
        <f>IFERROR(VLOOKUP(E104,categorieen!$D:$E,2,FALSE),"")</f>
        <v>Festival</v>
      </c>
      <c r="S104" s="12" t="str">
        <f>IFERROR(VLOOKUP(F104,categorieen!$D:$E,2,FALSE),"")</f>
        <v>Kleurrijk</v>
      </c>
      <c r="T104" s="12" t="str">
        <f>IFERROR(VLOOKUP(G104,categorieen!$D:$E,2,FALSE),"")</f>
        <v/>
      </c>
      <c r="U104" s="12" t="str">
        <f>IFERROR(VLOOKUP(H104,categorieen!$D:$E,2,FALSE),"")</f>
        <v/>
      </c>
      <c r="V104" s="12" t="str">
        <f>IFERROR(VLOOKUP(I104,categorieen!$D:$E,2,FALSE),"")</f>
        <v/>
      </c>
      <c r="W104" s="12" t="str">
        <f>IFERROR(VLOOKUP(J104,categorieen!$D:$E,2,FALSE),"")</f>
        <v/>
      </c>
    </row>
    <row r="105" spans="1:23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 t="str">
        <f>IFERROR(VLOOKUP(C105,categorieen!$D:$E,2,FALSE),"")</f>
        <v>Tilburg</v>
      </c>
      <c r="Q105" s="12" t="str">
        <f>IFERROR(VLOOKUP(D105,categorieen!$D:$E,2,FALSE),"")</f>
        <v>Eten en Drinken (ED)</v>
      </c>
      <c r="R105" s="12" t="str">
        <f>IFERROR(VLOOKUP(E105,categorieen!$D:$E,2,FALSE),"")</f>
        <v>Typisch Brabants (TB)</v>
      </c>
      <c r="S105" s="12" t="str">
        <f>IFERROR(VLOOKUP(F105,categorieen!$D:$E,2,FALSE),"")</f>
        <v/>
      </c>
      <c r="T105" s="12" t="str">
        <f>IFERROR(VLOOKUP(G105,categorieen!$D:$E,2,FALSE),"")</f>
        <v/>
      </c>
      <c r="U105" s="12" t="str">
        <f>IFERROR(VLOOKUP(H105,categorieen!$D:$E,2,FALSE),"")</f>
        <v/>
      </c>
      <c r="V105" s="12" t="str">
        <f>IFERROR(VLOOKUP(I105,categorieen!$D:$E,2,FALSE),"")</f>
        <v/>
      </c>
      <c r="W105" s="12" t="str">
        <f>IFERROR(VLOOKUP(J105,categorieen!$D:$E,2,FALSE),"")</f>
        <v/>
      </c>
    </row>
    <row r="106" spans="1:23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/>
      <c r="N106" s="12"/>
      <c r="O106" s="12"/>
      <c r="P106" s="12" t="str">
        <f>IFERROR(VLOOKUP(C106,categorieen!$D:$E,2,FALSE),"")</f>
        <v>Bekende Brabanders</v>
      </c>
      <c r="Q106" s="12" t="str">
        <f>IFERROR(VLOOKUP(D106,categorieen!$D:$E,2,FALSE),"")</f>
        <v>Sport</v>
      </c>
      <c r="R106" s="12" t="str">
        <f>IFERROR(VLOOKUP(E106,categorieen!$D:$E,2,FALSE),"")</f>
        <v>Vught</v>
      </c>
      <c r="S106" s="12" t="str">
        <f>IFERROR(VLOOKUP(F106,categorieen!$D:$E,2,FALSE),"")</f>
        <v>3x dezelfde letter</v>
      </c>
      <c r="T106" s="12" t="str">
        <f>IFERROR(VLOOKUP(G106,categorieen!$D:$E,2,FALSE),"")</f>
        <v/>
      </c>
      <c r="U106" s="12" t="str">
        <f>IFERROR(VLOOKUP(H106,categorieen!$D:$E,2,FALSE),"")</f>
        <v/>
      </c>
      <c r="V106" s="12" t="str">
        <f>IFERROR(VLOOKUP(I106,categorieen!$D:$E,2,FALSE),"")</f>
        <v/>
      </c>
      <c r="W106" s="12" t="str">
        <f>IFERROR(VLOOKUP(J106,categorieen!$D:$E,2,FALSE),"")</f>
        <v/>
      </c>
    </row>
    <row r="107" spans="1:23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/>
      <c r="N107" s="12"/>
      <c r="O107" s="12"/>
      <c r="P107" s="12" t="str">
        <f>IFERROR(VLOOKUP(C107,categorieen!$D:$E,2,FALSE),"")</f>
        <v>Heilige</v>
      </c>
      <c r="Q107" s="12" t="str">
        <f>IFERROR(VLOOKUP(D107,categorieen!$D:$E,2,FALSE),"")</f>
        <v>Met 4 Wieken</v>
      </c>
      <c r="R107" s="12" t="str">
        <f>IFERROR(VLOOKUP(E107,categorieen!$D:$E,2,FALSE),"")</f>
        <v>3x dezelfde letter</v>
      </c>
      <c r="S107" s="12" t="str">
        <f>IFERROR(VLOOKUP(F107,categorieen!$D:$E,2,FALSE),"")</f>
        <v>Water</v>
      </c>
      <c r="T107" s="12" t="str">
        <f>IFERROR(VLOOKUP(G107,categorieen!$D:$E,2,FALSE),"")</f>
        <v/>
      </c>
      <c r="U107" s="12" t="str">
        <f>IFERROR(VLOOKUP(H107,categorieen!$D:$E,2,FALSE),"")</f>
        <v/>
      </c>
      <c r="V107" s="12" t="str">
        <f>IFERROR(VLOOKUP(I107,categorieen!$D:$E,2,FALSE),"")</f>
        <v/>
      </c>
      <c r="W107" s="12" t="str">
        <f>IFERROR(VLOOKUP(J107,categorieen!$D:$E,2,FALSE),"")</f>
        <v/>
      </c>
    </row>
    <row r="108" spans="1:23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/>
      <c r="N108" s="12"/>
      <c r="O108" s="12"/>
      <c r="P108" s="12" t="str">
        <f>IFERROR(VLOOKUP(C108,categorieen!$D:$E,2,FALSE),"")</f>
        <v>Eerste- en Eindletter hetzelfde</v>
      </c>
      <c r="Q108" s="12" t="str">
        <f>IFERROR(VLOOKUP(D108,categorieen!$D:$E,2,FALSE),"")</f>
        <v>Heilige</v>
      </c>
      <c r="R108" s="12" t="str">
        <f>IFERROR(VLOOKUP(E108,categorieen!$D:$E,2,FALSE),"")</f>
        <v>3x dezelfde letter</v>
      </c>
      <c r="S108" s="12" t="str">
        <f>IFERROR(VLOOKUP(F108,categorieen!$D:$E,2,FALSE),"")</f>
        <v>Met 4 Wieken</v>
      </c>
      <c r="T108" s="12" t="str">
        <f>IFERROR(VLOOKUP(G108,categorieen!$D:$E,2,FALSE),"")</f>
        <v/>
      </c>
      <c r="U108" s="12" t="str">
        <f>IFERROR(VLOOKUP(H108,categorieen!$D:$E,2,FALSE),"")</f>
        <v/>
      </c>
      <c r="V108" s="12" t="str">
        <f>IFERROR(VLOOKUP(I108,categorieen!$D:$E,2,FALSE),"")</f>
        <v/>
      </c>
      <c r="W108" s="12" t="str">
        <f>IFERROR(VLOOKUP(J108,categorieen!$D:$E,2,FALSE),"")</f>
        <v/>
      </c>
    </row>
    <row r="109" spans="1:23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/>
      <c r="N109" s="12"/>
      <c r="O109" s="12"/>
      <c r="P109" s="12" t="str">
        <f>IFERROR(VLOOKUP(C109,categorieen!$D:$E,2,FALSE),"")</f>
        <v>7 letters</v>
      </c>
      <c r="Q109" s="12" t="str">
        <f>IFERROR(VLOOKUP(D109,categorieen!$D:$E,2,FALSE),"")</f>
        <v>Heilige</v>
      </c>
      <c r="R109" s="12" t="str">
        <f>IFERROR(VLOOKUP(E109,categorieen!$D:$E,2,FALSE),"")</f>
        <v>s Hertogenbosch (DB)</v>
      </c>
      <c r="S109" s="12" t="str">
        <f>IFERROR(VLOOKUP(F109,categorieen!$D:$E,2,FALSE),"")</f>
        <v>Met 4 Wieken</v>
      </c>
      <c r="T109" s="12" t="str">
        <f>IFERROR(VLOOKUP(G109,categorieen!$D:$E,2,FALSE),"")</f>
        <v>(stand)beeld / (Rijks)monument</v>
      </c>
      <c r="U109" s="12" t="str">
        <f>IFERROR(VLOOKUP(H109,categorieen!$D:$E,2,FALSE),"")</f>
        <v/>
      </c>
      <c r="V109" s="12" t="str">
        <f>IFERROR(VLOOKUP(I109,categorieen!$D:$E,2,FALSE),"")</f>
        <v/>
      </c>
      <c r="W109" s="12" t="str">
        <f>IFERROR(VLOOKUP(J109,categorieen!$D:$E,2,FALSE),"")</f>
        <v/>
      </c>
    </row>
    <row r="110" spans="1:23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/>
      <c r="N110" s="12"/>
      <c r="O110" s="12"/>
      <c r="P110" s="12" t="str">
        <f>IFERROR(VLOOKUP(C110,categorieen!$D:$E,2,FALSE),"")</f>
        <v>Heilige</v>
      </c>
      <c r="Q110" s="12" t="str">
        <f>IFERROR(VLOOKUP(D110,categorieen!$D:$E,2,FALSE),"")</f>
        <v>076 (Breda)</v>
      </c>
      <c r="R110" s="12" t="str">
        <f>IFERROR(VLOOKUP(E110,categorieen!$D:$E,2,FALSE),"")</f>
        <v>Eerste- en Eindletter hetzelfde</v>
      </c>
      <c r="S110" s="12" t="str">
        <f>IFERROR(VLOOKUP(F110,categorieen!$D:$E,2,FALSE),"")</f>
        <v>Eten en Drinken (ED)</v>
      </c>
      <c r="T110" s="12" t="str">
        <f>IFERROR(VLOOKUP(G110,categorieen!$D:$E,2,FALSE),"")</f>
        <v>(stand)beeld / (Rijks)monument</v>
      </c>
      <c r="U110" s="12" t="str">
        <f>IFERROR(VLOOKUP(H110,categorieen!$D:$E,2,FALSE),"")</f>
        <v>Hilvarenbeek</v>
      </c>
      <c r="V110" s="12" t="str">
        <f>IFERROR(VLOOKUP(I110,categorieen!$D:$E,2,FALSE),"")</f>
        <v>Plein</v>
      </c>
      <c r="W110" s="12" t="str">
        <f>IFERROR(VLOOKUP(J110,categorieen!$D:$E,2,FALSE),"")</f>
        <v/>
      </c>
    </row>
    <row r="111" spans="1:23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/>
      <c r="N111" s="12"/>
      <c r="O111" s="12"/>
      <c r="P111" s="12" t="str">
        <f>IFERROR(VLOOKUP(C111,categorieen!$D:$E,2,FALSE),"")</f>
        <v>Met dubbel T</v>
      </c>
      <c r="Q111" s="12" t="str">
        <f>IFERROR(VLOOKUP(D111,categorieen!$D:$E,2,FALSE),"")</f>
        <v>3x dezelfde letter</v>
      </c>
      <c r="R111" s="12" t="str">
        <f>IFERROR(VLOOKUP(E111,categorieen!$D:$E,2,FALSE),"")</f>
        <v>076 (Breda)</v>
      </c>
      <c r="S111" s="12" t="str">
        <f>IFERROR(VLOOKUP(F111,categorieen!$D:$E,2,FALSE),"")</f>
        <v>Heilige</v>
      </c>
      <c r="T111" s="12" t="str">
        <f>IFERROR(VLOOKUP(G111,categorieen!$D:$E,2,FALSE),"")</f>
        <v>In de volksmond (IDV)</v>
      </c>
      <c r="U111" s="12" t="str">
        <f>IFERROR(VLOOKUP(H111,categorieen!$D:$E,2,FALSE),"")</f>
        <v>Eerste- en Eindletter hetzelfde</v>
      </c>
      <c r="V111" s="12" t="str">
        <f>IFERROR(VLOOKUP(I111,categorieen!$D:$E,2,FALSE),"")</f>
        <v>(stand)beeld / (Rijks)monument</v>
      </c>
      <c r="W111" s="12" t="str">
        <f>IFERROR(VLOOKUP(J111,categorieen!$D:$E,2,FALSE),"")</f>
        <v/>
      </c>
    </row>
    <row r="112" spans="1:23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/>
      <c r="N112" s="12"/>
      <c r="O112" s="12"/>
      <c r="P112" s="12" t="str">
        <f>IFERROR(VLOOKUP(C112,categorieen!$D:$E,2,FALSE),"")</f>
        <v>040 (Eindhoven)</v>
      </c>
      <c r="Q112" s="12" t="str">
        <f>IFERROR(VLOOKUP(D112,categorieen!$D:$E,2,FALSE),"")</f>
        <v>Eerste- en Eindletter hetzelfde</v>
      </c>
      <c r="R112" s="12" t="str">
        <f>IFERROR(VLOOKUP(E112,categorieen!$D:$E,2,FALSE),"")</f>
        <v>3x dezelfde letter</v>
      </c>
      <c r="S112" s="12" t="str">
        <f>IFERROR(VLOOKUP(F112,categorieen!$D:$E,2,FALSE),"")</f>
        <v>In de volksmond (IDV)</v>
      </c>
      <c r="T112" s="12" t="str">
        <f>IFERROR(VLOOKUP(G112,categorieen!$D:$E,2,FALSE),"")</f>
        <v>Typisch Brabants (TB)</v>
      </c>
      <c r="U112" s="12" t="str">
        <f>IFERROR(VLOOKUP(H112,categorieen!$D:$E,2,FALSE),"")</f>
        <v/>
      </c>
      <c r="V112" s="12" t="str">
        <f>IFERROR(VLOOKUP(I112,categorieen!$D:$E,2,FALSE),"")</f>
        <v/>
      </c>
      <c r="W112" s="12" t="str">
        <f>IFERROR(VLOOKUP(J112,categorieen!$D:$E,2,FALSE),"")</f>
        <v/>
      </c>
    </row>
    <row r="113" spans="1:23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/>
      <c r="N113" s="12"/>
      <c r="O113" s="12"/>
      <c r="P113" s="12" t="str">
        <f>IFERROR(VLOOKUP(C113,categorieen!$D:$E,2,FALSE),"")</f>
        <v>In de volksmond (IDV)</v>
      </c>
      <c r="Q113" s="12" t="str">
        <f>IFERROR(VLOOKUP(D113,categorieen!$D:$E,2,FALSE),"")</f>
        <v>Eindigt op el</v>
      </c>
      <c r="R113" s="12" t="str">
        <f>IFERROR(VLOOKUP(E113,categorieen!$D:$E,2,FALSE),"")</f>
        <v>1 van de 8</v>
      </c>
      <c r="S113" s="12" t="str">
        <f>IFERROR(VLOOKUP(F113,categorieen!$D:$E,2,FALSE),"")</f>
        <v>7 letters</v>
      </c>
      <c r="T113" s="12" t="str">
        <f>IFERROR(VLOOKUP(G113,categorieen!$D:$E,2,FALSE),"")</f>
        <v/>
      </c>
      <c r="U113" s="12" t="str">
        <f>IFERROR(VLOOKUP(H113,categorieen!$D:$E,2,FALSE),"")</f>
        <v/>
      </c>
      <c r="V113" s="12" t="str">
        <f>IFERROR(VLOOKUP(I113,categorieen!$D:$E,2,FALSE),"")</f>
        <v/>
      </c>
      <c r="W113" s="12" t="str">
        <f>IFERROR(VLOOKUP(J113,categorieen!$D:$E,2,FALSE),"")</f>
        <v/>
      </c>
    </row>
    <row r="114" spans="1:23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/>
      <c r="N114" s="12"/>
      <c r="O114" s="12"/>
      <c r="P114" s="12" t="str">
        <f>IFERROR(VLOOKUP(C114,categorieen!$D:$E,2,FALSE),"")</f>
        <v>Eerste- en Eindletter hetzelfde</v>
      </c>
      <c r="Q114" s="12" t="str">
        <f>IFERROR(VLOOKUP(D114,categorieen!$D:$E,2,FALSE),"")</f>
        <v>In de volksmond (IDV)</v>
      </c>
      <c r="R114" s="12" t="str">
        <f>IFERROR(VLOOKUP(E114,categorieen!$D:$E,2,FALSE),"")</f>
        <v>Typisch Brabants (TB)</v>
      </c>
      <c r="S114" s="12" t="str">
        <f>IFERROR(VLOOKUP(F114,categorieen!$D:$E,2,FALSE),"")</f>
        <v>Alaaf</v>
      </c>
      <c r="T114" s="12" t="str">
        <f>IFERROR(VLOOKUP(G114,categorieen!$D:$E,2,FALSE),"")</f>
        <v/>
      </c>
      <c r="U114" s="12" t="str">
        <f>IFERROR(VLOOKUP(H114,categorieen!$D:$E,2,FALSE),"")</f>
        <v/>
      </c>
      <c r="V114" s="12" t="str">
        <f>IFERROR(VLOOKUP(I114,categorieen!$D:$E,2,FALSE),"")</f>
        <v/>
      </c>
      <c r="W114" s="12" t="str">
        <f>IFERROR(VLOOKUP(J114,categorieen!$D:$E,2,FALSE),"")</f>
        <v/>
      </c>
    </row>
    <row r="115" spans="1:23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 t="str">
        <f>IFERROR(VLOOKUP(C115,categorieen!$D:$E,2,FALSE),"")</f>
        <v>West Brabant</v>
      </c>
      <c r="Q115" s="12" t="str">
        <f>IFERROR(VLOOKUP(D115,categorieen!$D:$E,2,FALSE),"")</f>
        <v>Heilige</v>
      </c>
      <c r="R115" s="12" t="str">
        <f>IFERROR(VLOOKUP(E115,categorieen!$D:$E,2,FALSE),"")</f>
        <v>Plein</v>
      </c>
      <c r="S115" s="12" t="str">
        <f>IFERROR(VLOOKUP(F115,categorieen!$D:$E,2,FALSE),"")</f>
        <v/>
      </c>
      <c r="T115" s="12" t="str">
        <f>IFERROR(VLOOKUP(G115,categorieen!$D:$E,2,FALSE),"")</f>
        <v/>
      </c>
      <c r="U115" s="12" t="str">
        <f>IFERROR(VLOOKUP(H115,categorieen!$D:$E,2,FALSE),"")</f>
        <v/>
      </c>
      <c r="V115" s="12" t="str">
        <f>IFERROR(VLOOKUP(I115,categorieen!$D:$E,2,FALSE),"")</f>
        <v/>
      </c>
      <c r="W115" s="12" t="str">
        <f>IFERROR(VLOOKUP(J115,categorieen!$D:$E,2,FALSE),"")</f>
        <v/>
      </c>
    </row>
    <row r="116" spans="1:23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/>
      <c r="N116" s="12"/>
      <c r="O116" s="12"/>
      <c r="P116" s="12" t="str">
        <f>IFERROR(VLOOKUP(C116,categorieen!$D:$E,2,FALSE),"")</f>
        <v>Water</v>
      </c>
      <c r="Q116" s="12" t="str">
        <f>IFERROR(VLOOKUP(D116,categorieen!$D:$E,2,FALSE),"")</f>
        <v>3x dezelfde letter</v>
      </c>
      <c r="R116" s="12" t="str">
        <f>IFERROR(VLOOKUP(E116,categorieen!$D:$E,2,FALSE),"")</f>
        <v>Kleurrijk</v>
      </c>
      <c r="S116" s="12" t="str">
        <f>IFERROR(VLOOKUP(F116,categorieen!$D:$E,2,FALSE),"")</f>
        <v>Begint met een B</v>
      </c>
      <c r="T116" s="12" t="str">
        <f>IFERROR(VLOOKUP(G116,categorieen!$D:$E,2,FALSE),"")</f>
        <v>Tilburg</v>
      </c>
      <c r="U116" s="12" t="str">
        <f>IFERROR(VLOOKUP(H116,categorieen!$D:$E,2,FALSE),"")</f>
        <v/>
      </c>
      <c r="V116" s="12" t="str">
        <f>IFERROR(VLOOKUP(I116,categorieen!$D:$E,2,FALSE),"")</f>
        <v/>
      </c>
      <c r="W116" s="12" t="str">
        <f>IFERROR(VLOOKUP(J116,categorieen!$D:$E,2,FALSE),"")</f>
        <v/>
      </c>
    </row>
    <row r="117" spans="1:23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/>
      <c r="H117" s="12"/>
      <c r="I117" s="12"/>
      <c r="J117" s="12"/>
      <c r="K117" s="12"/>
      <c r="L117" s="12"/>
      <c r="M117" s="12"/>
      <c r="N117" s="12"/>
      <c r="O117" s="12"/>
      <c r="P117" s="12" t="str">
        <f>IFERROR(VLOOKUP(C117,categorieen!$D:$E,2,FALSE),"")</f>
        <v>Plein</v>
      </c>
      <c r="Q117" s="12" t="str">
        <f>IFERROR(VLOOKUP(D117,categorieen!$D:$E,2,FALSE),"")</f>
        <v>Alaaf</v>
      </c>
      <c r="R117" s="12" t="str">
        <f>IFERROR(VLOOKUP(E117,categorieen!$D:$E,2,FALSE),"")</f>
        <v>Tilburg</v>
      </c>
      <c r="S117" s="12" t="str">
        <f>IFERROR(VLOOKUP(F117,categorieen!$D:$E,2,FALSE),"")</f>
        <v>Typisch Brabants (TB)</v>
      </c>
      <c r="T117" s="12" t="str">
        <f>IFERROR(VLOOKUP(G117,categorieen!$D:$E,2,FALSE),"")</f>
        <v/>
      </c>
      <c r="U117" s="12" t="str">
        <f>IFERROR(VLOOKUP(H117,categorieen!$D:$E,2,FALSE),"")</f>
        <v/>
      </c>
      <c r="V117" s="12" t="str">
        <f>IFERROR(VLOOKUP(I117,categorieen!$D:$E,2,FALSE),"")</f>
        <v/>
      </c>
      <c r="W117" s="12" t="str">
        <f>IFERROR(VLOOKUP(J117,categorieen!$D:$E,2,FALSE),"")</f>
        <v/>
      </c>
    </row>
    <row r="118" spans="1:23" x14ac:dyDescent="0.25">
      <c r="A118" s="20" t="s">
        <v>163</v>
      </c>
      <c r="B118" s="12"/>
      <c r="C118" s="12">
        <v>16</v>
      </c>
      <c r="D118" s="12">
        <v>11</v>
      </c>
      <c r="E118" s="12">
        <v>12</v>
      </c>
      <c r="F118" s="12">
        <v>38</v>
      </c>
      <c r="G118" s="12"/>
      <c r="H118" s="12"/>
      <c r="I118" s="12"/>
      <c r="J118" s="12"/>
      <c r="K118" s="12"/>
      <c r="L118" s="12"/>
      <c r="M118" s="12"/>
      <c r="N118" s="12"/>
      <c r="O118" s="12"/>
      <c r="P118" s="12" t="str">
        <f>IFERROR(VLOOKUP(C118,categorieen!$D:$E,2,FALSE),"")</f>
        <v>Buurtschap</v>
      </c>
      <c r="Q118" s="12" t="str">
        <f>IFERROR(VLOOKUP(D118,categorieen!$D:$E,2,FALSE),"")</f>
        <v>Tilburg</v>
      </c>
      <c r="R118" s="12" t="str">
        <f>IFERROR(VLOOKUP(E118,categorieen!$D:$E,2,FALSE),"")</f>
        <v>Water</v>
      </c>
      <c r="S118" s="12" t="str">
        <f>IFERROR(VLOOKUP(F118,categorieen!$D:$E,2,FALSE),"")</f>
        <v>Sport</v>
      </c>
      <c r="T118" s="12" t="str">
        <f>IFERROR(VLOOKUP(G118,categorieen!$D:$E,2,FALSE),"")</f>
        <v/>
      </c>
      <c r="U118" s="12" t="str">
        <f>IFERROR(VLOOKUP(H118,categorieen!$D:$E,2,FALSE),"")</f>
        <v/>
      </c>
      <c r="V118" s="12" t="str">
        <f>IFERROR(VLOOKUP(I118,categorieen!$D:$E,2,FALSE),"")</f>
        <v/>
      </c>
      <c r="W118" s="12" t="str">
        <f>IFERROR(VLOOKUP(J118,categorieen!$D:$E,2,FALSE),"")</f>
        <v/>
      </c>
    </row>
    <row r="119" spans="1:23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/>
      <c r="N119" s="12"/>
      <c r="O119" s="12"/>
      <c r="P119" s="12" t="str">
        <f>IFERROR(VLOOKUP(C119,categorieen!$D:$E,2,FALSE),"")</f>
        <v>7 letters</v>
      </c>
      <c r="Q119" s="12" t="str">
        <f>IFERROR(VLOOKUP(D119,categorieen!$D:$E,2,FALSE),"")</f>
        <v>Bekende Brabanders</v>
      </c>
      <c r="R119" s="12" t="str">
        <f>IFERROR(VLOOKUP(E119,categorieen!$D:$E,2,FALSE),"")</f>
        <v>Eindigt op el</v>
      </c>
      <c r="S119" s="12" t="str">
        <f>IFERROR(VLOOKUP(F119,categorieen!$D:$E,2,FALSE),"")</f>
        <v>Willem II</v>
      </c>
      <c r="T119" s="12" t="str">
        <f>IFERROR(VLOOKUP(G119,categorieen!$D:$E,2,FALSE),"")</f>
        <v>Sport</v>
      </c>
      <c r="U119" s="12" t="str">
        <f>IFERROR(VLOOKUP(H119,categorieen!$D:$E,2,FALSE),"")</f>
        <v>Kleurrijk</v>
      </c>
      <c r="V119" s="12" t="str">
        <f>IFERROR(VLOOKUP(I119,categorieen!$D:$E,2,FALSE),"")</f>
        <v/>
      </c>
      <c r="W119" s="12" t="str">
        <f>IFERROR(VLOOKUP(J119,categorieen!$D:$E,2,FALSE),"")</f>
        <v/>
      </c>
    </row>
    <row r="120" spans="1:23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/>
      <c r="N120" s="12"/>
      <c r="O120" s="12"/>
      <c r="P120" s="12" t="str">
        <f>IFERROR(VLOOKUP(C120,categorieen!$D:$E,2,FALSE),"")</f>
        <v>Met dubbel s</v>
      </c>
      <c r="Q120" s="12" t="str">
        <f>IFERROR(VLOOKUP(D120,categorieen!$D:$E,2,FALSE),"")</f>
        <v>Eindigt op el</v>
      </c>
      <c r="R120" s="12" t="str">
        <f>IFERROR(VLOOKUP(E120,categorieen!$D:$E,2,FALSE),"")</f>
        <v>Eten en Drinken (ED)</v>
      </c>
      <c r="S120" s="12" t="str">
        <f>IFERROR(VLOOKUP(F120,categorieen!$D:$E,2,FALSE),"")</f>
        <v>Bekende Brabanders</v>
      </c>
      <c r="T120" s="12" t="str">
        <f>IFERROR(VLOOKUP(G120,categorieen!$D:$E,2,FALSE),"")</f>
        <v>Tilburg</v>
      </c>
      <c r="U120" s="12" t="str">
        <f>IFERROR(VLOOKUP(H120,categorieen!$D:$E,2,FALSE),"")</f>
        <v>Sport</v>
      </c>
      <c r="V120" s="12" t="str">
        <f>IFERROR(VLOOKUP(I120,categorieen!$D:$E,2,FALSE),"")</f>
        <v>(stand)beeld / (Rijks)monument</v>
      </c>
      <c r="W120" s="12" t="str">
        <f>IFERROR(VLOOKUP(J120,categorieen!$D:$E,2,FALSE),"")</f>
        <v>Willem II</v>
      </c>
    </row>
    <row r="121" spans="1:23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/>
      <c r="N121" s="12"/>
      <c r="O121" s="12"/>
      <c r="P121" s="12" t="str">
        <f>IFERROR(VLOOKUP(C121,categorieen!$D:$E,2,FALSE),"")</f>
        <v>Parel in het Groen (PITG)</v>
      </c>
      <c r="Q121" s="12" t="str">
        <f>IFERROR(VLOOKUP(D121,categorieen!$D:$E,2,FALSE),"")</f>
        <v>Natuur</v>
      </c>
      <c r="R121" s="12" t="str">
        <f>IFERROR(VLOOKUP(E121,categorieen!$D:$E,2,FALSE),"")</f>
        <v>Eten en Drinken (ED)</v>
      </c>
      <c r="S121" s="12" t="str">
        <f>IFERROR(VLOOKUP(F121,categorieen!$D:$E,2,FALSE),"")</f>
        <v>In de volksmond (IDV)</v>
      </c>
      <c r="T121" s="12" t="str">
        <f>IFERROR(VLOOKUP(G121,categorieen!$D:$E,2,FALSE),"")</f>
        <v>Dierlijk</v>
      </c>
      <c r="U121" s="12" t="str">
        <f>IFERROR(VLOOKUP(H121,categorieen!$D:$E,2,FALSE),"")</f>
        <v/>
      </c>
      <c r="V121" s="12" t="str">
        <f>IFERROR(VLOOKUP(I121,categorieen!$D:$E,2,FALSE),"")</f>
        <v/>
      </c>
      <c r="W121" s="12" t="str">
        <f>IFERROR(VLOOKUP(J121,categorieen!$D:$E,2,FALSE),"")</f>
        <v/>
      </c>
    </row>
    <row r="122" spans="1:23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 t="str">
        <f>IFERROR(VLOOKUP(C122,categorieen!$D:$E,2,FALSE),"")</f>
        <v>Theater</v>
      </c>
      <c r="Q122" s="12" t="str">
        <f>IFERROR(VLOOKUP(D122,categorieen!$D:$E,2,FALSE),"")</f>
        <v>7 letters</v>
      </c>
      <c r="R122" s="12" t="str">
        <f>IFERROR(VLOOKUP(E122,categorieen!$D:$E,2,FALSE),"")</f>
        <v/>
      </c>
      <c r="S122" s="12" t="str">
        <f>IFERROR(VLOOKUP(F122,categorieen!$D:$E,2,FALSE),"")</f>
        <v/>
      </c>
      <c r="T122" s="12" t="str">
        <f>IFERROR(VLOOKUP(G122,categorieen!$D:$E,2,FALSE),"")</f>
        <v/>
      </c>
      <c r="U122" s="12" t="str">
        <f>IFERROR(VLOOKUP(H122,categorieen!$D:$E,2,FALSE),"")</f>
        <v/>
      </c>
      <c r="V122" s="12" t="str">
        <f>IFERROR(VLOOKUP(I122,categorieen!$D:$E,2,FALSE),"")</f>
        <v/>
      </c>
      <c r="W122" s="12" t="str">
        <f>IFERROR(VLOOKUP(J122,categorieen!$D:$E,2,FALSE),"")</f>
        <v/>
      </c>
    </row>
    <row r="123" spans="1:23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 t="str">
        <f>IFERROR(VLOOKUP(C123,categorieen!$D:$E,2,FALSE),"")</f>
        <v>Buurtschap</v>
      </c>
      <c r="Q123" s="12" t="str">
        <f>IFERROR(VLOOKUP(D123,categorieen!$D:$E,2,FALSE),"")</f>
        <v>Getal/Cijfer</v>
      </c>
      <c r="R123" s="12" t="str">
        <f>IFERROR(VLOOKUP(E123,categorieen!$D:$E,2,FALSE),"")</f>
        <v>Tilburg</v>
      </c>
      <c r="S123" s="12" t="str">
        <f>IFERROR(VLOOKUP(F123,categorieen!$D:$E,2,FALSE),"")</f>
        <v/>
      </c>
      <c r="T123" s="12" t="str">
        <f>IFERROR(VLOOKUP(G123,categorieen!$D:$E,2,FALSE),"")</f>
        <v/>
      </c>
      <c r="U123" s="12" t="str">
        <f>IFERROR(VLOOKUP(H123,categorieen!$D:$E,2,FALSE),"")</f>
        <v/>
      </c>
      <c r="V123" s="12" t="str">
        <f>IFERROR(VLOOKUP(I123,categorieen!$D:$E,2,FALSE),"")</f>
        <v/>
      </c>
      <c r="W123" s="12" t="str">
        <f>IFERROR(VLOOKUP(J123,categorieen!$D:$E,2,FALSE),"")</f>
        <v/>
      </c>
    </row>
    <row r="124" spans="1:23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 t="str">
        <f>IFERROR(VLOOKUP(C124,categorieen!$D:$E,2,FALSE),"")</f>
        <v>Begint met een W</v>
      </c>
      <c r="Q124" s="12" t="str">
        <f>IFERROR(VLOOKUP(D124,categorieen!$D:$E,2,FALSE),"")</f>
        <v>Tilburg</v>
      </c>
      <c r="R124" s="12" t="str">
        <f>IFERROR(VLOOKUP(E124,categorieen!$D:$E,2,FALSE),"")</f>
        <v/>
      </c>
      <c r="S124" s="12" t="str">
        <f>IFERROR(VLOOKUP(F124,categorieen!$D:$E,2,FALSE),"")</f>
        <v/>
      </c>
      <c r="T124" s="12" t="str">
        <f>IFERROR(VLOOKUP(G124,categorieen!$D:$E,2,FALSE),"")</f>
        <v/>
      </c>
      <c r="U124" s="12" t="str">
        <f>IFERROR(VLOOKUP(H124,categorieen!$D:$E,2,FALSE),"")</f>
        <v/>
      </c>
      <c r="V124" s="12" t="str">
        <f>IFERROR(VLOOKUP(I124,categorieen!$D:$E,2,FALSE),"")</f>
        <v/>
      </c>
      <c r="W124" s="12" t="str">
        <f>IFERROR(VLOOKUP(J124,categorieen!$D:$E,2,FALSE),"")</f>
        <v/>
      </c>
    </row>
    <row r="125" spans="1:23" x14ac:dyDescent="0.25">
      <c r="A125" s="12" t="s">
        <v>170</v>
      </c>
      <c r="B125" s="12"/>
      <c r="C125" s="12">
        <v>10</v>
      </c>
      <c r="D125" s="12">
        <v>20</v>
      </c>
      <c r="E125" s="12">
        <v>33</v>
      </c>
      <c r="F125" s="12">
        <v>11</v>
      </c>
      <c r="G125" s="12">
        <v>19</v>
      </c>
      <c r="H125" s="12">
        <v>9</v>
      </c>
      <c r="I125" s="12"/>
      <c r="J125" s="12"/>
      <c r="K125" s="12"/>
      <c r="L125" s="12"/>
      <c r="M125" s="12">
        <v>33</v>
      </c>
      <c r="N125" s="12"/>
      <c r="O125" s="12"/>
      <c r="P125" s="12" t="str">
        <f>IFERROR(VLOOKUP(C125,categorieen!$D:$E,2,FALSE),"")</f>
        <v>Begint met een W</v>
      </c>
      <c r="Q125" s="12" t="str">
        <f>IFERROR(VLOOKUP(D125,categorieen!$D:$E,2,FALSE),"")</f>
        <v>Festival</v>
      </c>
      <c r="R125" s="12" t="str">
        <f>IFERROR(VLOOKUP(E125,categorieen!$D:$E,2,FALSE),"")</f>
        <v>076 (Breda)</v>
      </c>
      <c r="S125" s="12" t="str">
        <f>IFERROR(VLOOKUP(F125,categorieen!$D:$E,2,FALSE),"")</f>
        <v>Tilburg</v>
      </c>
      <c r="T125" s="12" t="str">
        <f>IFERROR(VLOOKUP(G125,categorieen!$D:$E,2,FALSE),"")</f>
        <v>Natuur</v>
      </c>
      <c r="U125" s="12" t="str">
        <f>IFERROR(VLOOKUP(H125,categorieen!$D:$E,2,FALSE),"")</f>
        <v>Kiosk</v>
      </c>
      <c r="V125" s="12" t="str">
        <f>IFERROR(VLOOKUP(I125,categorieen!$D:$E,2,FALSE),"")</f>
        <v/>
      </c>
      <c r="W125" s="12" t="str">
        <f>IFERROR(VLOOKUP(J125,categorieen!$D:$E,2,FALSE),"")</f>
        <v/>
      </c>
    </row>
    <row r="126" spans="1:23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>
        <v>38</v>
      </c>
      <c r="N126" s="12"/>
      <c r="O126" s="12"/>
      <c r="P126" s="12" t="str">
        <f>IFERROR(VLOOKUP(C126,categorieen!$D:$E,2,FALSE),"")</f>
        <v>Begint met een W</v>
      </c>
      <c r="Q126" s="12" t="str">
        <f>IFERROR(VLOOKUP(D126,categorieen!$D:$E,2,FALSE),"")</f>
        <v>Sport</v>
      </c>
      <c r="R126" s="12" t="str">
        <f>IFERROR(VLOOKUP(E126,categorieen!$D:$E,2,FALSE),"")</f>
        <v>Bekende Brabanders</v>
      </c>
      <c r="S126" s="12" t="str">
        <f>IFERROR(VLOOKUP(F126,categorieen!$D:$E,2,FALSE),"")</f>
        <v>(stand)beeld / (Rijks)monument</v>
      </c>
      <c r="T126" s="12" t="str">
        <f>IFERROR(VLOOKUP(G126,categorieen!$D:$E,2,FALSE),"")</f>
        <v/>
      </c>
      <c r="U126" s="12" t="str">
        <f>IFERROR(VLOOKUP(H126,categorieen!$D:$E,2,FALSE),"")</f>
        <v/>
      </c>
      <c r="V126" s="12" t="str">
        <f>IFERROR(VLOOKUP(I126,categorieen!$D:$E,2,FALSE),"")</f>
        <v/>
      </c>
      <c r="W126" s="12" t="str">
        <f>IFERROR(VLOOKUP(J126,categorieen!$D:$E,2,FALSE),"")</f>
        <v/>
      </c>
    </row>
    <row r="127" spans="1:23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>
        <v>26</v>
      </c>
      <c r="N127" s="12"/>
      <c r="O127" s="12"/>
      <c r="P127" s="12" t="str">
        <f>IFERROR(VLOOKUP(C127,categorieen!$D:$E,2,FALSE),"")</f>
        <v>Begint met een W</v>
      </c>
      <c r="Q127" s="12" t="str">
        <f>IFERROR(VLOOKUP(D127,categorieen!$D:$E,2,FALSE),"")</f>
        <v>Zes letters</v>
      </c>
      <c r="R127" s="12" t="str">
        <f>IFERROR(VLOOKUP(E127,categorieen!$D:$E,2,FALSE),"")</f>
        <v>Buurtschap</v>
      </c>
      <c r="S127" s="12" t="str">
        <f>IFERROR(VLOOKUP(F127,categorieen!$D:$E,2,FALSE),"")</f>
        <v>Eindigt op el</v>
      </c>
      <c r="T127" s="12" t="str">
        <f>IFERROR(VLOOKUP(G127,categorieen!$D:$E,2,FALSE),"")</f>
        <v/>
      </c>
      <c r="U127" s="12" t="str">
        <f>IFERROR(VLOOKUP(H127,categorieen!$D:$E,2,FALSE),"")</f>
        <v/>
      </c>
      <c r="V127" s="12" t="str">
        <f>IFERROR(VLOOKUP(I127,categorieen!$D:$E,2,FALSE),"")</f>
        <v/>
      </c>
      <c r="W127" s="12" t="str">
        <f>IFERROR(VLOOKUP(J127,categorieen!$D:$E,2,FALSE),"")</f>
        <v/>
      </c>
    </row>
    <row r="128" spans="1:23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 t="str">
        <f>IFERROR(VLOOKUP(C128,categorieen!$D:$E,2,FALSE),"")</f>
        <v>1 van de 8</v>
      </c>
      <c r="Q128" s="12" t="str">
        <f>IFERROR(VLOOKUP(D128,categorieen!$D:$E,2,FALSE),"")</f>
        <v>Begint met een W</v>
      </c>
      <c r="R128" s="12" t="str">
        <f>IFERROR(VLOOKUP(E128,categorieen!$D:$E,2,FALSE),"")</f>
        <v>Festival</v>
      </c>
      <c r="S128" s="12" t="str">
        <f>IFERROR(VLOOKUP(F128,categorieen!$D:$E,2,FALSE),"")</f>
        <v/>
      </c>
      <c r="T128" s="12" t="str">
        <f>IFERROR(VLOOKUP(G128,categorieen!$D:$E,2,FALSE),"")</f>
        <v/>
      </c>
      <c r="U128" s="12" t="str">
        <f>IFERROR(VLOOKUP(H128,categorieen!$D:$E,2,FALSE),"")</f>
        <v/>
      </c>
      <c r="V128" s="12" t="str">
        <f>IFERROR(VLOOKUP(I128,categorieen!$D:$E,2,FALSE),"")</f>
        <v/>
      </c>
      <c r="W128" s="12" t="str">
        <f>IFERROR(VLOOKUP(J128,categorieen!$D:$E,2,FALSE),"")</f>
        <v/>
      </c>
    </row>
    <row r="129" spans="1:23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/>
      <c r="N129" s="12"/>
      <c r="O129" s="12"/>
      <c r="P129" s="12" t="str">
        <f>IFERROR(VLOOKUP(C129,categorieen!$D:$E,2,FALSE),"")</f>
        <v>(stand)beeld / (Rijks)monument</v>
      </c>
      <c r="Q129" s="12" t="str">
        <f>IFERROR(VLOOKUP(D129,categorieen!$D:$E,2,FALSE),"")</f>
        <v>Met dubbel T</v>
      </c>
      <c r="R129" s="12" t="str">
        <f>IFERROR(VLOOKUP(E129,categorieen!$D:$E,2,FALSE),"")</f>
        <v>Kleurrijk</v>
      </c>
      <c r="S129" s="12" t="str">
        <f>IFERROR(VLOOKUP(F129,categorieen!$D:$E,2,FALSE),"")</f>
        <v>040 (Eindhoven)</v>
      </c>
      <c r="T129" s="12" t="str">
        <f>IFERROR(VLOOKUP(G129,categorieen!$D:$E,2,FALSE),"")</f>
        <v>Begint met een W</v>
      </c>
      <c r="U129" s="12" t="str">
        <f>IFERROR(VLOOKUP(H129,categorieen!$D:$E,2,FALSE),"")</f>
        <v>In de volksmond (IDV)</v>
      </c>
      <c r="V129" s="12" t="str">
        <f>IFERROR(VLOOKUP(I129,categorieen!$D:$E,2,FALSE),"")</f>
        <v/>
      </c>
      <c r="W129" s="12" t="str">
        <f>IFERROR(VLOOKUP(J129,categorieen!$D:$E,2,FALSE),"")</f>
        <v/>
      </c>
    </row>
    <row r="130" spans="1:23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/>
      <c r="N130" s="12"/>
      <c r="O130" s="12"/>
      <c r="P130" s="12" t="str">
        <f>IFERROR(VLOOKUP(C130,categorieen!$D:$E,2,FALSE),"")</f>
        <v>Typisch Brabants (TB)</v>
      </c>
      <c r="Q130" s="12" t="str">
        <f>IFERROR(VLOOKUP(D130,categorieen!$D:$E,2,FALSE),"")</f>
        <v>Begint met een W</v>
      </c>
      <c r="R130" s="12" t="str">
        <f>IFERROR(VLOOKUP(E130,categorieen!$D:$E,2,FALSE),"")</f>
        <v>Eten en Drinken (ED)</v>
      </c>
      <c r="S130" s="12" t="str">
        <f>IFERROR(VLOOKUP(F130,categorieen!$D:$E,2,FALSE),"")</f>
        <v>Dierlijk</v>
      </c>
      <c r="T130" s="12" t="str">
        <f>IFERROR(VLOOKUP(G130,categorieen!$D:$E,2,FALSE),"")</f>
        <v>3x dezelfde letter</v>
      </c>
      <c r="U130" s="12" t="str">
        <f>IFERROR(VLOOKUP(H130,categorieen!$D:$E,2,FALSE),"")</f>
        <v/>
      </c>
      <c r="V130" s="12" t="str">
        <f>IFERROR(VLOOKUP(I130,categorieen!$D:$E,2,FALSE),"")</f>
        <v/>
      </c>
      <c r="W130" s="12" t="str">
        <f>IFERROR(VLOOKUP(J130,categorieen!$D:$E,2,FALSE),"")</f>
        <v/>
      </c>
    </row>
    <row r="131" spans="1:23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>
        <v>10</v>
      </c>
      <c r="N131" s="12"/>
      <c r="O131" s="12"/>
      <c r="P131" s="11" t="str">
        <f>IFERROR(VLOOKUP(C131,categorieen!$D:$E,2,FALSE),"")</f>
        <v>Begint met een W</v>
      </c>
      <c r="Q131" s="11" t="str">
        <f>IFERROR(VLOOKUP(D131,categorieen!$D:$E,2,FALSE),"")</f>
        <v>West Brabant</v>
      </c>
      <c r="R131" s="12" t="str">
        <f>IFERROR(VLOOKUP(E131,categorieen!$D:$E,2,FALSE),"")</f>
        <v>Eerste- en Eindletter hetzelfde</v>
      </c>
      <c r="S131" s="12" t="str">
        <f>IFERROR(VLOOKUP(F131,categorieen!$D:$E,2,FALSE),"")</f>
        <v>3 of 4 letters</v>
      </c>
      <c r="T131" s="12" t="str">
        <f>IFERROR(VLOOKUP(G131,categorieen!$D:$E,2,FALSE),"")</f>
        <v>Dierlijk</v>
      </c>
      <c r="U131" s="12" t="str">
        <f>IFERROR(VLOOKUP(H131,categorieen!$D:$E,2,FALSE),"")</f>
        <v>Kasteel</v>
      </c>
      <c r="V131" s="12" t="str">
        <f>IFERROR(VLOOKUP(I131,categorieen!$D:$E,2,FALSE),"")</f>
        <v/>
      </c>
      <c r="W131" s="12" t="str">
        <f>IFERROR(VLOOKUP(J131,categorieen!$D:$E,2,FALSE),"")</f>
        <v/>
      </c>
    </row>
    <row r="132" spans="1:23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/>
      <c r="N132" s="12"/>
      <c r="O132" s="12"/>
      <c r="P132" s="12" t="str">
        <f>IFERROR(VLOOKUP(C132,categorieen!$D:$E,2,FALSE),"")</f>
        <v>s Hertogenbosch (DB)</v>
      </c>
      <c r="Q132" s="12" t="str">
        <f>IFERROR(VLOOKUP(D132,categorieen!$D:$E,2,FALSE),"")</f>
        <v>Eten en Drinken (ED)</v>
      </c>
      <c r="R132" s="12" t="str">
        <f>IFERROR(VLOOKUP(E132,categorieen!$D:$E,2,FALSE),"")</f>
        <v>3x dezelfde letter</v>
      </c>
      <c r="S132" s="12" t="str">
        <f>IFERROR(VLOOKUP(F132,categorieen!$D:$E,2,FALSE),"")</f>
        <v>Eindigt op el</v>
      </c>
      <c r="T132" s="12" t="str">
        <f>IFERROR(VLOOKUP(G132,categorieen!$D:$E,2,FALSE),"")</f>
        <v>Getal/Cijfer</v>
      </c>
      <c r="U132" s="12" t="str">
        <f>IFERROR(VLOOKUP(H132,categorieen!$D:$E,2,FALSE),"")</f>
        <v/>
      </c>
      <c r="V132" s="12" t="str">
        <f>IFERROR(VLOOKUP(I132,categorieen!$D:$E,2,FALSE),"")</f>
        <v/>
      </c>
      <c r="W132" s="12" t="str">
        <f>IFERROR(VLOOKUP(J132,categorieen!$D:$E,2,FALSE),"")</f>
        <v/>
      </c>
    </row>
    <row r="133" spans="1:23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 t="str">
        <f>IFERROR(VLOOKUP(C133,categorieen!$D:$E,2,FALSE),"")</f>
        <v>(stand)beeld / (Rijks)monument</v>
      </c>
      <c r="Q133" s="12" t="str">
        <f>IFERROR(VLOOKUP(D133,categorieen!$D:$E,2,FALSE),"")</f>
        <v>Met dubbel T</v>
      </c>
      <c r="R133" s="12" t="str">
        <f>IFERROR(VLOOKUP(E133,categorieen!$D:$E,2,FALSE),"")</f>
        <v/>
      </c>
      <c r="S133" s="12" t="str">
        <f>IFERROR(VLOOKUP(F133,categorieen!$D:$E,2,FALSE),"")</f>
        <v/>
      </c>
      <c r="T133" s="12" t="str">
        <f>IFERROR(VLOOKUP(G133,categorieen!$D:$E,2,FALSE),"")</f>
        <v/>
      </c>
      <c r="U133" s="12" t="str">
        <f>IFERROR(VLOOKUP(H133,categorieen!$D:$E,2,FALSE),"")</f>
        <v/>
      </c>
      <c r="V133" s="12" t="str">
        <f>IFERROR(VLOOKUP(I133,categorieen!$D:$E,2,FALSE),"")</f>
        <v/>
      </c>
      <c r="W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K23" sqref="K23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9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Chassé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Lies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Blauwe Camer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Nieuw Vossemeer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Koepel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Noordhoek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Korenbloem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St. Willebrord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Laat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Wouw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Juttemis</v>
      </c>
      <c r="B12" s="22"/>
      <c r="C12" s="22" t="str">
        <f ca="1"/>
        <v>De 2 Gebroeders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>
        <f ca="1"/>
        <v>0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Snuifscheppers (SFS)</v>
      </c>
      <c r="B13" s="22"/>
      <c r="C13" s="22" t="str">
        <f ca="1"/>
        <v>De Zwaan 1623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Strontrapers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>
        <f ca="1"/>
        <v>0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Strontrapers</v>
      </c>
      <c r="B14" s="22"/>
      <c r="C14" s="22" t="str">
        <f ca="1"/>
        <v>Drakenfontein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>
        <f ca="1"/>
        <v>0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Wouw</v>
      </c>
      <c r="B15" s="22"/>
      <c r="C15" s="22" t="str">
        <f ca="1"/>
        <v>Evoluon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>
        <f ca="1"/>
        <v>0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Frits Philips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>
        <f ca="1"/>
        <v>0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Heeswijk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>
        <f ca="1"/>
        <v>0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Helmond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Kruikezeiker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KVL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Lunetten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Lunetten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Maurick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Nemerlaer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Sint Jan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Sint Joris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Sint Juttemis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Van Roessel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 t="str">
        <f ca="1"/>
        <v>Wim van Est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 t="str">
        <f ca="1"/>
        <v>Witte Dame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 t="str">
        <f ca="1"/>
        <v>Zittend Meisje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Petrus en Paulus (PP)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Rooi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Korenbloem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Bieb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Leest</v>
      </c>
      <c r="X53" s="22"/>
      <c r="Y53" s="22" t="str">
        <f ca="1"/>
        <v>Kampina</v>
      </c>
      <c r="Z53" s="22"/>
      <c r="AA53" s="22" t="str">
        <f ca="1"/>
        <v>De Heuvel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Bierbrouwerij de Roos (BdR)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De Laat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Pelikaan</v>
      </c>
      <c r="X54" s="22"/>
      <c r="Y54" s="22" t="str">
        <f ca="1"/>
        <v>KVL</v>
      </c>
      <c r="Z54" s="22"/>
      <c r="AA54" s="22" t="str">
        <f ca="1"/>
        <v>De Vrijthof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Laat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Gorp en Roovert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2 Gebroeders</v>
      </c>
      <c r="X55" s="22"/>
      <c r="Y55" s="22" t="str">
        <f ca="1"/>
        <v>Lieve Lente</v>
      </c>
      <c r="Z55" s="22"/>
      <c r="AA55" s="22" t="str">
        <f ca="1"/>
        <v>Lieve Lente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Evoluon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Halve Zolen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Zotte Mulders</v>
      </c>
      <c r="X56" s="22"/>
      <c r="Y56" s="22" t="str">
        <f ca="1"/>
        <v>Venkraai</v>
      </c>
      <c r="Z56" s="22"/>
      <c r="AA56" s="22" t="str">
        <f ca="1"/>
        <v>Pand P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Pand P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Houdoe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Heimolen</v>
      </c>
      <c r="X57" s="22"/>
      <c r="Y57" s="22">
        <f ca="1"/>
        <v>0</v>
      </c>
      <c r="Z57" s="22"/>
      <c r="AA57" s="22" t="str">
        <f ca="1"/>
        <v>(plein) 1969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 t="str">
        <f ca="1"/>
        <v>Vestzak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Kruikezeiker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Sint Agatha</v>
      </c>
      <c r="X58" s="22"/>
      <c r="Y58" s="22">
        <f ca="1"/>
        <v>0</v>
      </c>
      <c r="Z58" s="22"/>
      <c r="AA58" s="22" t="str">
        <f ca="1"/>
        <v>Sint Joris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>
        <f ca="1"/>
        <v>0</v>
      </c>
      <c r="L59" s="22"/>
      <c r="M59" s="22" t="str">
        <f ca="1"/>
        <v>Roel van Hemert</v>
      </c>
      <c r="N59" s="22"/>
      <c r="O59" s="22" t="str">
        <f ca="1"/>
        <v>Papgat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Sint Anthonis</v>
      </c>
      <c r="X59" s="22"/>
      <c r="Y59" s="22">
        <f ca="1"/>
        <v>0</v>
      </c>
      <c r="Z59" s="22"/>
      <c r="AA59" s="22" t="str">
        <f ca="1"/>
        <v>St. Willebrord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Papzakken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Sint Jan</v>
      </c>
      <c r="X60" s="22"/>
      <c r="Y60" s="22">
        <f ca="1"/>
        <v>0</v>
      </c>
      <c r="Z60" s="22"/>
      <c r="AA60" s="22" t="str">
        <f ca="1"/>
        <v>t Kruiken(plein)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Ploegersland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>
        <f ca="1"/>
        <v>0</v>
      </c>
      <c r="X61" s="22"/>
      <c r="Y61" s="22">
        <f ca="1"/>
        <v>0</v>
      </c>
      <c r="Z61" s="22"/>
      <c r="AA61" s="22">
        <f ca="1"/>
        <v>0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Rooi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>
        <f ca="1"/>
        <v>0</v>
      </c>
      <c r="X62" s="22"/>
      <c r="Y62" s="22">
        <f ca="1"/>
        <v>0</v>
      </c>
      <c r="Z62" s="22"/>
      <c r="AA62" s="22">
        <f ca="1"/>
        <v>0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Sint Juttemis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>
        <f ca="1"/>
        <v>0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Snuifscheppers (SFS)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Stinsel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Strontrapers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 t="str">
        <f ca="1"/>
        <v>Witte Dame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Van Roessel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Venkraai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Worstenbroodje (WB)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7ende Hemel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20" sqref="C20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52</v>
      </c>
      <c r="C2">
        <v>40</v>
      </c>
    </row>
    <row r="4" spans="1:3" x14ac:dyDescent="0.25">
      <c r="A4" t="str" cm="1">
        <f t="array" ref="A4">INDEX(Antwoorden!$P$2:$W$133,'Per antwoord'!A2,1)</f>
        <v>Hilvarenbeek</v>
      </c>
      <c r="C4" t="str" cm="1">
        <f t="array" ref="C4">INDEX(Antwoorden!$P$2:$W$133,'Per antwoord'!C2,1)</f>
        <v>076 (Breda)</v>
      </c>
    </row>
    <row r="5" spans="1:3" x14ac:dyDescent="0.25">
      <c r="A5" t="str" cm="1">
        <f t="array" ref="A5">INDEX(Antwoorden!$P$2:$W$133,'Per antwoord'!A2,2)</f>
        <v>Met ie</v>
      </c>
      <c r="C5" t="str" cm="1">
        <f t="array" ref="C5">INDEX(Antwoorden!$P$2:$W$133,'Per antwoord'!C2,2)</f>
        <v>West Brabant</v>
      </c>
    </row>
    <row r="6" spans="1:3" x14ac:dyDescent="0.25">
      <c r="A6" t="str" cm="1">
        <f t="array" ref="A6">INDEX(Antwoorden!$P$2:$W$133,'Per antwoord'!A2,3)</f>
        <v>Festival</v>
      </c>
      <c r="C6" t="str" cm="1">
        <f t="array" ref="C6">INDEX(Antwoorden!$P$2:$W$133,'Per antwoord'!C2,3)</f>
        <v>Natuur</v>
      </c>
    </row>
    <row r="7" spans="1:3" x14ac:dyDescent="0.25">
      <c r="A7" t="str" cm="1">
        <f t="array" ref="A7">INDEX(Antwoorden!$P$2:$W$133,'Per antwoord'!A2,4)</f>
        <v>Kleurrijk</v>
      </c>
      <c r="C7" t="str" cm="1">
        <f t="array" ref="C7">INDEX(Antwoorden!$P$2:$W$133,'Per antwoord'!C2,4)</f>
        <v>Typisch Brabants (TB)</v>
      </c>
    </row>
    <row r="8" spans="1:3" x14ac:dyDescent="0.25">
      <c r="A8" t="str" cm="1">
        <f t="array" ref="A8">INDEX(Antwoorden!$P$2:$W$133,'Per antwoord'!A2,5)</f>
        <v>Eten en Drinken (ED)</v>
      </c>
      <c r="C8" t="str" cm="1">
        <f t="array" ref="C8">INDEX(Antwoorden!$P$2:$W$133,'Per antwoord'!C2,5)</f>
        <v>Kleurrijk</v>
      </c>
    </row>
    <row r="9" spans="1:3" x14ac:dyDescent="0.25">
      <c r="A9" t="str" cm="1">
        <f t="array" ref="A9">INDEX(Antwoorden!$P$2:$W$133,'Per antwoord'!A2,6)</f>
        <v>Typisch Brabants (TB)</v>
      </c>
      <c r="C9" t="str" cm="1">
        <f t="array" ref="C9">INDEX(Antwoorden!$P$2:$W$133,'Per antwoord'!C2,6)</f>
        <v/>
      </c>
    </row>
    <row r="10" spans="1:3" x14ac:dyDescent="0.25">
      <c r="A10" t="str" cm="1">
        <f t="array" ref="A10">INDEX(Antwoorden!$P$2:$W$133,'Per antwoord'!A2,7)</f>
        <v/>
      </c>
      <c r="C10" t="str" cm="1">
        <f t="array" ref="C10">INDEX(Antwoorden!$P$2:$W$133,'Per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</vt:i4>
      </vt:variant>
    </vt:vector>
  </HeadingPairs>
  <TitlesOfParts>
    <vt:vector size="8" baseType="lpstr">
      <vt:lpstr>Antwoorden KOPIE</vt:lpstr>
      <vt:lpstr>Puzzel</vt:lpstr>
      <vt:lpstr>categorieen</vt:lpstr>
      <vt:lpstr>Antwoorden</vt:lpstr>
      <vt:lpstr>Per categorie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2021-01-02T01:28:39Z</dcterms:modified>
</cp:coreProperties>
</file>