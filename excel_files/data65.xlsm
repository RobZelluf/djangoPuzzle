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D820FDD4-841F-4438-AF94-567A2731D8C0}" xr6:coauthVersionLast="45" xr6:coauthVersionMax="45" xr10:uidLastSave="{00000000-0000-0000-0000-000000000000}"/>
  <bookViews>
    <workbookView xWindow="105" yWindow="45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<sst xmlns="http://schemas.openxmlformats.org/spreadsheetml/2006/main" count="447" uniqueCount="236">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</sst>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7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3" workbookViewId="0">
      <selection activeCell="B19" sqref="B19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17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26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16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85" zoomScale="85" zoomScaleNormal="85" workbookViewId="0">
      <selection activeCell="E114" sqref="E114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>(stand)beeld / (Rijks)monument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 t="str">
        <f>IFERROR(VLOOKUP(C35,categorieen!$D:$E,2,FALSE),"")</f>
        <v>076 (Breda)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>
        <v>19</v>
      </c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>Natuur</v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>(stand)beeld / (Rijks)monument</v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>
        <v>27</v>
      </c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>Eten en Drinken (ED)</v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>Alaaf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>
        <v>38</v>
      </c>
      <c r="G118" s="12">
        <v>11</v>
      </c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>Sport</v>
      </c>
      <c r="Q118" s="12" t="str">
        <f>IFERROR(VLOOKUP(G118,categorieen!$D:$E,2,FALSE),"")</f>
        <v>Tilburg</v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Tilburg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I24" sqref="I24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27</v>
      </c>
      <c r="C1" s="21">
        <v>31</v>
      </c>
      <c r="E1" s="21">
        <v>41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Eten en Drinken (ED)</v>
      </c>
      <c r="C2" s="21" t="str">
        <f>VLOOKUP(C1,categorieen!$A:$B,2,FALSE)</f>
        <v>Kleurrijk</v>
      </c>
      <c r="E2" s="21" t="str">
        <f>VLOOKUP(E1,categorieen!$A:$B,2,FALSE)</f>
        <v>Vught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Arendsnest</v>
      </c>
      <c r="B3" s="22"/>
      <c r="C3" s="22" t="str" cm="1">
        <f t="array" aca="1" ref="C3:C47" ca="1">TRANSPOSE(Lijstjemaken(C1))</f>
        <v>De Blauwe Camer</v>
      </c>
      <c r="D3" s="22"/>
      <c r="E3" s="22" t="str" cm="1">
        <f t="array" aca="1" ref="E3:E47" ca="1">TRANSPOSE(Lijstjemaken(E1))</f>
        <v>A2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Balkenbrij</v>
      </c>
      <c r="B4" s="22"/>
      <c r="C4" s="22" t="str">
        <f ca="1"/>
        <v>De Paarse Heide</v>
      </c>
      <c r="D4" s="22"/>
      <c r="E4" s="22" t="str">
        <f ca="1"/>
        <v>Ijzeren man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Beerze</v>
      </c>
      <c r="B5" s="22"/>
      <c r="C5" s="22" t="str">
        <f ca="1"/>
        <v>De Twee Pinten</v>
      </c>
      <c r="D5" s="22"/>
      <c r="E5" s="22" t="str">
        <f ca="1"/>
        <v>In 't Groene Woud (GW)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Bierbrouwerij de Roos (BdR)</v>
      </c>
      <c r="B6" s="22"/>
      <c r="C6" s="22" t="str">
        <f ca="1"/>
        <v>Donders</v>
      </c>
      <c r="D6" s="22"/>
      <c r="E6" s="22" t="str">
        <f ca="1"/>
        <v>Lunetten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Borghs</v>
      </c>
      <c r="B7" s="22"/>
      <c r="C7" s="22" t="str">
        <f ca="1"/>
        <v>Elastiek</v>
      </c>
      <c r="D7" s="22"/>
      <c r="E7" s="22" t="str">
        <f ca="1"/>
        <v>Maurick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Bouvigne</v>
      </c>
      <c r="B8" s="22"/>
      <c r="C8" s="22" t="str">
        <f ca="1"/>
        <v>Glow</v>
      </c>
      <c r="D8" s="22"/>
      <c r="E8" s="22" t="str">
        <f ca="1"/>
        <v>Petrus en Paulus (PP)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De Brand (herberg)</v>
      </c>
      <c r="B9" s="22"/>
      <c r="C9" s="22" t="str">
        <f ca="1"/>
        <v>Intents</v>
      </c>
      <c r="D9" s="22"/>
      <c r="E9" s="22" t="str">
        <f ca="1"/>
        <v>Simon Tahamata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De Pelikaan</v>
      </c>
      <c r="B10" s="22"/>
      <c r="C10" s="22" t="str">
        <f ca="1"/>
        <v>In 't Groene Woud (GW)</v>
      </c>
      <c r="D10" s="22"/>
      <c r="E10" s="22">
        <f ca="1"/>
        <v>0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De Zwaan 1623</v>
      </c>
      <c r="B11" s="22"/>
      <c r="C11" s="22" t="str">
        <f ca="1"/>
        <v>Paperclip</v>
      </c>
      <c r="D11" s="22"/>
      <c r="E11" s="22">
        <f ca="1"/>
        <v>0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Elastiek</v>
      </c>
      <c r="B12" s="22"/>
      <c r="C12" s="22" t="str">
        <f ca="1"/>
        <v>Rooi</v>
      </c>
      <c r="D12" s="22"/>
      <c r="E12" s="22">
        <f ca="1"/>
        <v>0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Heeswijk</v>
      </c>
      <c r="B13" s="22"/>
      <c r="C13" s="22" t="str">
        <f ca="1"/>
        <v>Roze Maandag</v>
      </c>
      <c r="D13" s="22"/>
      <c r="E13" s="22">
        <f ca="1"/>
        <v>0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 t="str">
        <f ca="1"/>
        <v>7ende Hemel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Ijzeren man</v>
      </c>
      <c r="B14" s="22"/>
      <c r="C14" s="22" t="str">
        <f ca="1"/>
        <v>t Blauwe Meer</v>
      </c>
      <c r="D14" s="22"/>
      <c r="E14" s="22">
        <f ca="1"/>
        <v>0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In 't Groene Woud (GW)</v>
      </c>
      <c r="B15" s="22"/>
      <c r="C15" s="22" t="str">
        <f ca="1"/>
        <v>Van Geel</v>
      </c>
      <c r="D15" s="22"/>
      <c r="E15" s="22">
        <f ca="1"/>
        <v>0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 t="str">
        <f ca="1"/>
        <v>Lieve Lente</v>
      </c>
      <c r="B16" s="22"/>
      <c r="C16" s="22" t="str">
        <f ca="1"/>
        <v>Witte Dame</v>
      </c>
      <c r="D16" s="22"/>
      <c r="E16" s="22">
        <f ca="1"/>
        <v>0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 t="str">
        <f ca="1"/>
        <v>Maurick</v>
      </c>
      <c r="B17" s="22"/>
      <c r="C17" s="22">
        <f ca="1"/>
        <v>0</v>
      </c>
      <c r="D17" s="22"/>
      <c r="E17" s="22">
        <f ca="1"/>
        <v>0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 t="str">
        <f ca="1"/>
        <v>Maurick</v>
      </c>
      <c r="B18" s="22"/>
      <c r="C18" s="22">
        <f ca="1"/>
        <v>0</v>
      </c>
      <c r="D18" s="22"/>
      <c r="E18" s="22">
        <f ca="1"/>
        <v>0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 t="str">
        <f ca="1"/>
        <v>Nooit Gedacht</v>
      </c>
      <c r="B19" s="22"/>
      <c r="C19" s="22">
        <f ca="1"/>
        <v>0</v>
      </c>
      <c r="D19" s="22"/>
      <c r="E19" s="22">
        <f ca="1"/>
        <v>0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Wilhelminapark (WP)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 t="str">
        <f ca="1"/>
        <v>Pand P</v>
      </c>
      <c r="B20" s="22"/>
      <c r="C20" s="22">
        <f ca="1"/>
        <v>0</v>
      </c>
      <c r="D20" s="22"/>
      <c r="E20" s="22">
        <f ca="1"/>
        <v>0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 t="str">
        <f ca="1"/>
        <v>Ripasso</v>
      </c>
      <c r="B21" s="22"/>
      <c r="C21" s="22">
        <f ca="1"/>
        <v>0</v>
      </c>
      <c r="D21" s="22"/>
      <c r="E21" s="22">
        <f ca="1"/>
        <v>0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 t="str">
        <f ca="1"/>
        <v>Schrobbelèr</v>
      </c>
      <c r="B22" s="22"/>
      <c r="C22" s="22">
        <f ca="1"/>
        <v>0</v>
      </c>
      <c r="D22" s="22"/>
      <c r="E22" s="22">
        <f ca="1"/>
        <v>0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 t="str">
        <f ca="1"/>
        <v>Sint Joris</v>
      </c>
      <c r="B23" s="22"/>
      <c r="C23" s="22">
        <f ca="1"/>
        <v>0</v>
      </c>
      <c r="D23" s="22"/>
      <c r="E23" s="22">
        <f ca="1"/>
        <v>0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 t="str">
        <f ca="1"/>
        <v>t Kruiken(plein)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 t="str">
        <f ca="1"/>
        <v>Van Roessel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 t="str">
        <f ca="1"/>
        <v>Venkraai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 t="str">
        <f ca="1"/>
        <v>Worstenbroodje (WB)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 t="str">
        <f ca="1"/>
        <v>7ende Hemel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Heeswijk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Maurick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Nooit Gedacht</v>
      </c>
      <c r="J67" s="22"/>
      <c r="K67" s="22">
        <f ca="1"/>
        <v>0</v>
      </c>
      <c r="L67" s="22"/>
      <c r="M67" s="22">
        <f ca="1"/>
        <v>0</v>
      </c>
      <c r="N67" s="22"/>
      <c r="O67" s="22">
        <f ca="1"/>
        <v>0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Pand P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Ripasso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Schrobbelèr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Sint Joris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t Kruiken(plein)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Van Roessel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Venkraai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Worstenbroodje (WB)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 t="str">
        <f ca="1"/>
        <v>7ende Hemel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Chassé</v>
      </c>
    </row>
    <row r="8" spans="1:4" x14ac:dyDescent="0.25">
      <c r="A8" t="str">
        <f ca="1"/>
        <v>Pand P</v>
      </c>
      <c r="D8" t="str">
        <f ca="1"/>
        <v>De Blauwe Camer</v>
      </c>
    </row>
    <row r="9" spans="1:4" x14ac:dyDescent="0.25">
      <c r="A9" t="str">
        <f ca="1"/>
        <v>Paperclip</v>
      </c>
      <c r="D9" t="str">
        <f ca="1"/>
        <v>De Koepel</v>
      </c>
    </row>
    <row r="10" spans="1:4" x14ac:dyDescent="0.25">
      <c r="A10" t="str">
        <f ca="1"/>
        <v>Sint Anthonis</v>
      </c>
      <c r="D10" t="str">
        <f ca="1"/>
        <v>De Korenbloem</v>
      </c>
    </row>
    <row r="11" spans="1:4" x14ac:dyDescent="0.25">
      <c r="A11" t="str">
        <f ca="1"/>
        <v>Sint Joris</v>
      </c>
      <c r="D11" t="str">
        <f ca="1"/>
        <v>De Laat</v>
      </c>
    </row>
    <row r="12" spans="1:4" x14ac:dyDescent="0.25">
      <c r="A12" t="str">
        <f ca="1"/>
        <v>Sint Juttemis</v>
      </c>
      <c r="D12" t="str">
        <f ca="1"/>
        <v>De 2 Gebroeders</v>
      </c>
    </row>
    <row r="13" spans="1:4" x14ac:dyDescent="0.25">
      <c r="A13" t="str">
        <f ca="1"/>
        <v>Snuifscheppers (SFS)</v>
      </c>
      <c r="D13" t="str">
        <f ca="1"/>
        <v>De Zwaan 1623</v>
      </c>
    </row>
    <row r="14" spans="1:4" x14ac:dyDescent="0.25">
      <c r="A14" t="str">
        <f ca="1"/>
        <v>Strontrapers</v>
      </c>
      <c r="D14" t="str">
        <f ca="1"/>
        <v>Drakenfontein</v>
      </c>
    </row>
    <row r="15" spans="1:4" x14ac:dyDescent="0.25">
      <c r="A15" t="str">
        <f ca="1"/>
        <v>Wouw</v>
      </c>
      <c r="D15" t="str">
        <f ca="1"/>
        <v>Evoluon</v>
      </c>
    </row>
    <row r="16" spans="1:4" x14ac:dyDescent="0.25">
      <c r="A16">
        <f ca="1"/>
        <v>0</v>
      </c>
      <c r="D16" t="str">
        <f ca="1"/>
        <v>Frits Philips</v>
      </c>
    </row>
    <row r="17" spans="1:4" x14ac:dyDescent="0.25">
      <c r="A17">
        <f ca="1"/>
        <v>0</v>
      </c>
      <c r="D17" t="str">
        <f ca="1"/>
        <v>Heeswijk</v>
      </c>
    </row>
    <row r="18" spans="1:4" x14ac:dyDescent="0.25">
      <c r="A18">
        <f ca="1"/>
        <v>0</v>
      </c>
      <c r="D18" t="str">
        <f ca="1"/>
        <v>Helmond</v>
      </c>
    </row>
    <row r="19" spans="1:4" x14ac:dyDescent="0.25">
      <c r="A19">
        <f ca="1"/>
        <v>0</v>
      </c>
      <c r="D19" t="str">
        <f ca="1"/>
        <v>Kruikezeiker</v>
      </c>
    </row>
    <row r="20" spans="1:4" x14ac:dyDescent="0.25">
      <c r="A20">
        <f ca="1"/>
        <v>0</v>
      </c>
      <c r="D20" t="str">
        <f ca="1"/>
        <v>KVL</v>
      </c>
    </row>
    <row r="21" spans="1:4" x14ac:dyDescent="0.25">
      <c r="A21">
        <f ca="1"/>
        <v>0</v>
      </c>
      <c r="D21" t="str">
        <f ca="1"/>
        <v>Lunetten</v>
      </c>
    </row>
    <row r="22" spans="1:4" x14ac:dyDescent="0.25">
      <c r="A22">
        <f ca="1"/>
        <v>0</v>
      </c>
      <c r="D22" t="str">
        <f ca="1"/>
        <v>Lunetten</v>
      </c>
    </row>
    <row r="23" spans="1:4" x14ac:dyDescent="0.25">
      <c r="A23">
        <f ca="1"/>
        <v>0</v>
      </c>
      <c r="D23" t="str">
        <f ca="1"/>
        <v>Maurick</v>
      </c>
    </row>
    <row r="24" spans="1:4" x14ac:dyDescent="0.25">
      <c r="A24">
        <f ca="1"/>
        <v>0</v>
      </c>
      <c r="D24" t="str">
        <f ca="1"/>
        <v>Nemerlaer</v>
      </c>
    </row>
    <row r="25" spans="1:4" x14ac:dyDescent="0.25">
      <c r="A25">
        <f ca="1"/>
        <v>0</v>
      </c>
      <c r="D25" t="str">
        <f ca="1"/>
        <v>Sint Jan</v>
      </c>
    </row>
    <row r="26" spans="1:4" x14ac:dyDescent="0.25">
      <c r="A26">
        <f ca="1"/>
        <v>0</v>
      </c>
      <c r="D26" t="str">
        <f ca="1"/>
        <v>Sint Joris</v>
      </c>
    </row>
    <row r="27" spans="1:4" x14ac:dyDescent="0.25">
      <c r="A27">
        <f ca="1"/>
        <v>0</v>
      </c>
      <c r="D27" t="str">
        <f ca="1"/>
        <v>Sint Juttemis</v>
      </c>
    </row>
    <row r="28" spans="1:4" x14ac:dyDescent="0.25">
      <c r="A28">
        <f ca="1"/>
        <v>0</v>
      </c>
      <c r="D28" t="str">
        <f ca="1"/>
        <v>Van Roessel</v>
      </c>
    </row>
    <row r="29" spans="1:4" x14ac:dyDescent="0.25">
      <c r="A29">
        <f ca="1"/>
        <v>0</v>
      </c>
      <c r="D29" t="str">
        <f ca="1"/>
        <v>Wim van Est</v>
      </c>
    </row>
    <row r="30" spans="1:4" x14ac:dyDescent="0.25">
      <c r="A30">
        <f ca="1"/>
        <v>0</v>
      </c>
      <c r="D30" t="str">
        <f ca="1"/>
        <v>Witte Dame</v>
      </c>
    </row>
    <row r="31" spans="1:4" x14ac:dyDescent="0.25">
      <c r="A31">
        <f ca="1"/>
        <v>0</v>
      </c>
      <c r="D31" t="str">
        <f ca="1"/>
        <v>Zittend Meisje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7</v>
      </c>
      <c r="C2">
        <v>40</v>
      </c>
    </row>
    <row r="4" spans="1:3" x14ac:dyDescent="0.25">
      <c r="A4" t="str" cm="1">
        <f t="array" ref="A4">INDEX(Antwoorden!$M$2:$T$133,'Per antwoord'!A2,1)</f>
        <v>Getal/Cijfer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s Hertogenbosch (DB)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040 (Eindhoven)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Vught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2021-01-01T00:51:15Z</dcterms:modified>
</cp:coreProperties>
</file>