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AB8FDB20-066B-4B04-82A2-22740B142F4F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<sst xmlns="http://schemas.openxmlformats.org/spreadsheetml/2006/main" count="446" uniqueCount="234">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</sst>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6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4" zoomScale="70" zoomScaleNormal="70" workbookViewId="0">
      <selection activeCell="AG16" sqref="AG16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I21" sqref="I21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15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11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10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40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21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10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6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21" zoomScale="85" zoomScaleNormal="85" workbookViewId="0">
      <selection activeCell="M134" sqref="M13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/>
      <c r="F12" s="12"/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/>
      </c>
      <c r="P12" s="12" t="str">
        <f>IFERROR(VLOOKUP(F12,categorieen!$D:$E,2,FALSE),"")</f>
        <v/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/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/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/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/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/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/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/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/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/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8</v>
      </c>
      <c r="G88" s="12">
        <v>4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040 (Eindhoven)</v>
      </c>
      <c r="Q88" s="12" t="str">
        <f>IFERROR(VLOOKUP(G88,categorieen!$D:$E,2,FALSE),"")</f>
        <v>Zes letters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/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/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/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/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7</v>
      </c>
      <c r="E114" s="12">
        <v>30</v>
      </c>
      <c r="F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Alaaf</v>
      </c>
      <c r="O114" s="12" t="str">
        <f>IFERROR(VLOOKUP(E114,categorieen!$D:$E,2,FALSE),"")</f>
        <v>In de volksmond (IDV)</v>
      </c>
      <c r="P114" s="12" t="str">
        <f>IFERROR(VLOOKUP(F114,categorieen!$D:$E,2,FALSE),"")</f>
        <v>Typisch Brabants (TB)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/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/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11" t="s">
        <v>174</v>
      </c>
      <c r="B129" s="12"/>
      <c r="C129" s="11">
        <v>2</v>
      </c>
      <c r="D129" s="11">
        <v>13</v>
      </c>
      <c r="E129" s="12"/>
      <c r="F129" s="12"/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/>
      </c>
      <c r="P129" s="12" t="str">
        <f>IFERROR(VLOOKUP(F129,categorieen!$D:$E,2,FALSE),"")</f>
        <v/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>
        <v>22</v>
      </c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>3x dezelfde letter</v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Z1" workbookViewId="0">
      <selection sqref="A1:AQ7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Bergen op Zoom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Bergsche Maas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Elastiek</v>
      </c>
      <c r="AN4" s="22"/>
      <c r="AO4" s="22" t="str">
        <f ca="1"/>
        <v>Chassé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Binnen Dieze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Glow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Borghs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2 Gebroeders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Halve Zolen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Cartierheide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Twee Pinten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Intents</v>
      </c>
      <c r="AN7" s="22"/>
      <c r="AO7" s="22" t="str">
        <f ca="1"/>
        <v>De Koepel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De Eeendracht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Zwaan 1623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KVL</v>
      </c>
      <c r="AN8" s="22"/>
      <c r="AO8" s="22" t="str">
        <f ca="1"/>
        <v>De Paarse Heide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Ijzeren man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Halve Zolen</v>
      </c>
      <c r="AD9" s="22"/>
      <c r="AE9" s="22" t="str">
        <f ca="1"/>
        <v>Noenes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Paaspop</v>
      </c>
      <c r="AN9" s="22"/>
      <c r="AO9" s="22" t="str">
        <f ca="1"/>
        <v>De Pelikaan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Moerputten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Paperclip</v>
      </c>
      <c r="AN10" s="22"/>
      <c r="AO10" s="22" t="str">
        <f ca="1"/>
        <v>De 2 Gebroeders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Oosterplas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Roze Maandag</v>
      </c>
      <c r="AN11" s="22"/>
      <c r="AO11" s="22" t="str">
        <f ca="1"/>
        <v>Heimolen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Snuifscheppers (SFS)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t Blauwe Meer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Wilhelminapark (WP)</v>
      </c>
      <c r="AN12" s="22"/>
      <c r="AO12" s="22" t="str">
        <f ca="1"/>
        <v>Lies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Strontrapers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t Zand</v>
      </c>
      <c r="X13" s="22"/>
      <c r="Y13" s="22">
        <f ca="1"/>
        <v>0</v>
      </c>
      <c r="Z13" s="22"/>
      <c r="AA13" s="22">
        <f ca="1"/>
        <v>0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>
        <f ca="1"/>
        <v>0</v>
      </c>
      <c r="AN13" s="22"/>
      <c r="AO13" s="22" t="str">
        <f ca="1"/>
        <v>Nieuw Vossemeer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Wouw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Nuenen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>
        <f ca="1"/>
        <v>0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Noordhoek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Pand 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>
        <f ca="1"/>
        <v>0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>
        <f ca="1"/>
        <v>0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 t="str">
        <f ca="1"/>
        <v>Zittend Meisje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De Pelikaan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Drakenfontein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KVL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t Kruiken(plein)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Nieuw Vossemeer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>
        <f ca="1"/>
        <v>0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Oss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Sint Joris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>
        <f ca="1"/>
        <v>0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Piet de Visser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Juttemis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Wilhelminapark (WP)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In 't Groene Woud (GW)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>
        <f ca="1"/>
        <v>0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Lieve Lente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Maurick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Pand P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Ripasso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Schrobbelèr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Sint Joris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Van Roessel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Venkraai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Worstenbroodje (WB)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7ende Hemel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>
        <f ca="1"/>
        <v>0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3" sqref="C3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</v>
      </c>
      <c r="C2">
        <v>6</v>
      </c>
    </row>
    <row r="4" spans="1:3" x14ac:dyDescent="0.25">
      <c r="A4" t="str" cm="1">
        <f t="array" ref="A4">INDEX(Antwoorden!$M$2:$T$133,'Per antwoord'!A2,1)</f>
        <v>Buurtschap</v>
      </c>
      <c r="C4" t="str" cm="1">
        <f t="array" ref="C4">INDEX(Antwoorden!$M$2:$T$133,'Per antwoord'!C2,1)</f>
        <v>Met 4 Wieken</v>
      </c>
    </row>
    <row r="5" spans="1:3" x14ac:dyDescent="0.25">
      <c r="A5" t="str" cm="1">
        <f t="array" ref="A5">INDEX(Antwoorden!$M$2:$T$133,'Per antwoord'!A2,2)</f>
        <v>Dierlijk</v>
      </c>
      <c r="C5" t="str" cm="1">
        <f t="array" ref="C5">INDEX(Antwoorden!$M$2:$T$133,'Per antwoord'!C2,2)</f>
        <v>(stand)beeld / (Rijks)monument</v>
      </c>
    </row>
    <row r="6" spans="1:3" x14ac:dyDescent="0.25">
      <c r="A6" t="str" cm="1">
        <f t="array" ref="A6">INDEX(Antwoorden!$M$2:$T$133,'Per antwoord'!A2,3)</f>
        <v>Eten en Drinken (ED)</v>
      </c>
      <c r="C6" t="str" cm="1">
        <f t="array" ref="C6">INDEX(Antwoorden!$M$2:$T$133,'Per antwoord'!C2,3)</f>
        <v>Met dubbel s</v>
      </c>
    </row>
    <row r="7" spans="1:3" x14ac:dyDescent="0.25">
      <c r="A7" t="str" cm="1">
        <f t="array" ref="A7">INDEX(Antwoorden!$M$2:$T$133,'Per antwoord'!A2,4)</f>
        <v/>
      </c>
      <c r="C7" t="str" cm="1">
        <f t="array" ref="C7">INDEX(Antwoorden!$M$2:$T$133,'Per antwoord'!C2,4)</f>
        <v>Kasteel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/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2020-12-28T20:52:41Z</dcterms:modified>
</cp:coreProperties>
</file>