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82FFD278-46E5-40AE-9D4D-E0E805BF705C}" xr6:coauthVersionLast="45" xr6:coauthVersionMax="45" xr10:uidLastSave="{00000000-0000-0000-0000-000000000000}"/>
  <bookViews>
    <workbookView xWindow="285" yWindow="6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6" l="1"/>
  <c r="P73" i="3"/>
  <c r="P45" i="3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D3" i="10" a="1"/>
  <c r="A3" i="10" a="1"/>
  <c r="A51" i="6" a="1"/>
  <c r="AM3" i="6" a="1"/>
  <c r="U3" i="6" a="1"/>
  <c r="AC51" i="6" a="1"/>
  <c r="AI51" i="6" a="1"/>
  <c r="G3" i="6" a="1"/>
  <c r="AA51" i="6" a="1"/>
  <c r="M51" i="6" a="1"/>
  <c r="E3" i="6" a="1"/>
  <c r="AE51" i="6" a="1"/>
  <c r="I51" i="6" a="1"/>
  <c r="Y3" i="6" a="1"/>
  <c r="S51" i="6" a="1"/>
  <c r="O51" i="6" a="1"/>
  <c r="G51" i="6" a="1"/>
  <c r="K51" i="6" a="1"/>
  <c r="AO51" i="6" a="1"/>
  <c r="AI3" i="6" a="1"/>
  <c r="AG3" i="6" a="1"/>
  <c r="S3" i="6" a="1"/>
  <c r="W3" i="6" a="1"/>
  <c r="AA3" i="6" a="1"/>
  <c r="K3" i="6" a="1"/>
  <c r="AG51" i="6" a="1"/>
  <c r="W51" i="6" a="1"/>
  <c r="U51" i="6" a="1"/>
  <c r="E51" i="6" a="1"/>
  <c r="AC3" i="6" a="1"/>
  <c r="AE3" i="6" a="1"/>
  <c r="AM51" i="6" a="1"/>
  <c r="AQ3" i="6" a="1"/>
  <c r="AO3" i="6" a="1"/>
  <c r="M3" i="6" a="1"/>
  <c r="O3" i="6" a="1"/>
  <c r="AK51" i="6" a="1"/>
  <c r="I3" i="6" a="1"/>
  <c r="Q3" i="6" a="1"/>
  <c r="C51" i="6" a="1"/>
  <c r="AK3" i="6" a="1"/>
  <c r="Y51" i="6" a="1"/>
  <c r="Q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P119" i="3" l="1"/>
  <c r="O111" i="3"/>
  <c r="P87" i="3"/>
  <c r="O47" i="3"/>
  <c r="P31" i="3"/>
  <c r="O22" i="3"/>
  <c r="Q13" i="3" l="1"/>
  <c r="Q12" i="3"/>
  <c r="P12" i="3"/>
  <c r="O12" i="3"/>
  <c r="T133" i="8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O102" i="3"/>
  <c r="A3" i="6" a="1"/>
  <c r="C3" i="6" a="1"/>
  <c r="C3" i="6" l="1"/>
  <c r="A3" i="6"/>
  <c r="P48" i="3"/>
  <c r="N25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R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P126" i="3"/>
  <c r="O126" i="3"/>
  <c r="N126" i="3"/>
  <c r="M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O48" i="3"/>
  <c r="N48" i="3"/>
  <c r="M48" i="3"/>
  <c r="T47" i="3"/>
  <c r="S47" i="3"/>
  <c r="R47" i="3"/>
  <c r="Q47" i="3"/>
  <c r="P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R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R22" i="3"/>
  <c r="Q22" i="3"/>
  <c r="P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P13" i="3"/>
  <c r="O13" i="3"/>
  <c r="N13" i="3"/>
  <c r="M13" i="3"/>
  <c r="T12" i="3"/>
  <c r="S12" i="3"/>
  <c r="R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C10" i="9" s="1" a="1"/>
  <c r="C10" i="9" s="1"/>
  <c r="R7" i="3"/>
  <c r="C9" i="9" s="1" a="1"/>
  <c r="C9" i="9" s="1"/>
  <c r="Q7" i="3"/>
  <c r="C8" i="9" s="1" a="1"/>
  <c r="C8" i="9" s="1"/>
  <c r="P7" i="3"/>
  <c r="C7" i="9" s="1" a="1"/>
  <c r="C7" i="9" s="1"/>
  <c r="O7" i="3"/>
  <c r="C6" i="9" s="1" a="1"/>
  <c r="C6" i="9" s="1"/>
  <c r="N7" i="3"/>
  <c r="C5" i="9" s="1" a="1"/>
  <c r="C5" i="9" s="1"/>
  <c r="M7" i="3"/>
  <c r="C4" i="9" s="1" a="1"/>
  <c r="C4" i="9" s="1"/>
  <c r="T6" i="3"/>
  <c r="S6" i="3"/>
  <c r="A10" i="9" s="1" a="1"/>
  <c r="A10" i="9" s="1"/>
  <c r="R6" i="3"/>
  <c r="A9" i="9" s="1" a="1"/>
  <c r="A9" i="9" s="1"/>
  <c r="Q6" i="3"/>
  <c r="A8" i="9" s="1" a="1"/>
  <c r="A8" i="9" s="1"/>
  <c r="P6" i="3"/>
  <c r="A7" i="9" s="1" a="1"/>
  <c r="A7" i="9" s="1"/>
  <c r="O6" i="3"/>
  <c r="A6" i="9" s="1" a="1"/>
  <c r="A6" i="9" s="1"/>
  <c r="N6" i="3"/>
  <c r="A5" i="9" s="1" a="1"/>
  <c r="A5" i="9" s="1"/>
  <c r="M6" i="3"/>
  <c r="A4" i="9" s="1" a="1"/>
  <c r="A4" i="9" s="1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S2" i="3"/>
  <c r="R2" i="3"/>
  <c r="Q2" i="3"/>
  <c r="P2" i="3"/>
  <c r="O2" i="3"/>
  <c r="N2" i="3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<sst xmlns="http://schemas.openxmlformats.org/spreadsheetml/2006/main" count="446" uniqueCount="234">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</sst>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5" val="0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6" val="5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r>
            <a:rPr lang="nl-NL"/>
            <a:t>De Laat</a:t>
          </a:r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r>
            <a:rPr lang="nl-NL" b="1"/>
            <a:t>Biesbosch</a:t>
          </a:r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endParaRPr lang="nl-NL" b="1"/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5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" zoomScale="70" zoomScaleNormal="70" workbookViewId="0">
      <selection activeCell="J5" sqref="J5:AH83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workbookViewId="0">
      <selection activeCell="I21" sqref="I21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12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24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16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8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13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9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13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11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9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10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11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10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7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17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10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18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40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12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21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8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9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16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14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10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7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6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11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16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13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12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94" zoomScale="85" zoomScaleNormal="85" workbookViewId="0">
      <selection activeCell="B118" sqref="B118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/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 t="s">
        <v>201</v>
      </c>
      <c r="C7" s="12">
        <v>34</v>
      </c>
      <c r="D7" s="12">
        <v>2</v>
      </c>
      <c r="E7" s="12">
        <v>17</v>
      </c>
      <c r="F7" s="12">
        <v>14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Kasteel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/>
      <c r="F12" s="12"/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/>
      </c>
      <c r="P12" s="12" t="str">
        <f>IFERROR(VLOOKUP(F12,categorieen!$D:$E,2,FALSE),"")</f>
        <v/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/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/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/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/>
      <c r="I18" s="12"/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/>
      </c>
      <c r="S18" s="12" t="str">
        <f>IFERROR(VLOOKUP(I18,categorieen!$D:$E,2,FALSE),"")</f>
        <v/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19</v>
      </c>
      <c r="F21" s="12">
        <v>32</v>
      </c>
      <c r="G21" s="12">
        <v>37</v>
      </c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Natuur</v>
      </c>
      <c r="P21" s="12" t="str">
        <f>IFERROR(VLOOKUP(F21,categorieen!$D:$E,2,FALSE),"")</f>
        <v>Met ie</v>
      </c>
      <c r="Q21" s="12" t="str">
        <f>IFERROR(VLOOKUP(G21,categorieen!$D:$E,2,FALSE),"")</f>
        <v>s Hertogenbosch (DB)</v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12</v>
      </c>
      <c r="H22" s="12"/>
      <c r="I22" s="12"/>
      <c r="J22" s="12"/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Water</v>
      </c>
      <c r="R22" s="12" t="str">
        <f>IFERROR(VLOOKUP(H22,categorieen!$D:$E,2,FALSE),"")</f>
        <v/>
      </c>
      <c r="S22" s="12" t="str">
        <f>IFERROR(VLOOKUP(I22,categorieen!$D:$E,2,FALSE),"")</f>
        <v/>
      </c>
      <c r="T22" s="12" t="str">
        <f>IFERROR(VLOOKUP(J22,categorieen!$D:$E,2,FALSE),"")</f>
        <v/>
      </c>
    </row>
    <row r="23" spans="1:20" x14ac:dyDescent="0.25">
      <c r="A23" s="11" t="s">
        <v>190</v>
      </c>
      <c r="B23" s="13"/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/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/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/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/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/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/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1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21</v>
      </c>
      <c r="F30" s="12">
        <v>4</v>
      </c>
      <c r="G30" s="12">
        <v>5</v>
      </c>
      <c r="H30" s="12">
        <v>17</v>
      </c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West Brabant</v>
      </c>
      <c r="P30" s="12" t="str">
        <f>IFERROR(VLOOKUP(F30,categorieen!$D:$E,2,FALSE),"")</f>
        <v>Zes letters</v>
      </c>
      <c r="Q30" s="12" t="str">
        <f>IFERROR(VLOOKUP(G30,categorieen!$D:$E,2,FALSE),"")</f>
        <v>Bekende Brabanders</v>
      </c>
      <c r="R30" s="12" t="str">
        <f>IFERROR(VLOOKUP(H30,categorieen!$D:$E,2,FALSE),"")</f>
        <v>Met dubbel s</v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27</v>
      </c>
      <c r="F31" s="12">
        <v>2</v>
      </c>
      <c r="G31" s="12">
        <v>31</v>
      </c>
      <c r="H31" s="12">
        <v>3</v>
      </c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Eten en Drinken (ED)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>Begint met een B</v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/>
      <c r="J34" s="12"/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/>
      </c>
      <c r="T34" s="12" t="str">
        <f>IFERROR(VLOOKUP(J34,categorieen!$D:$E,2,FALSE),"")</f>
        <v/>
      </c>
    </row>
    <row r="35" spans="1:20" x14ac:dyDescent="0.25">
      <c r="A35" s="12" t="s">
        <v>73</v>
      </c>
      <c r="B35" s="13"/>
      <c r="C35" s="12">
        <v>16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/>
      <c r="K35" s="12"/>
      <c r="L35" s="12"/>
      <c r="M35" s="12" t="str">
        <f>IFERROR(VLOOKUP(C35,categorieen!$D:$E,2,FALSE),"")</f>
        <v>Buurtschap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/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21</v>
      </c>
      <c r="F36" s="12">
        <v>26</v>
      </c>
      <c r="G36" s="12">
        <v>22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West Brabant</v>
      </c>
      <c r="P36" s="12" t="str">
        <f>IFERROR(VLOOKUP(F36,categorieen!$D:$E,2,FALSE),"")</f>
        <v>Eindigt op el</v>
      </c>
      <c r="Q36" s="12" t="str">
        <f>IFERROR(VLOOKUP(G36,categorieen!$D:$E,2,FALSE),"")</f>
        <v>3x dezelfde letter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/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/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>
        <v>35</v>
      </c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>Parel in het Groen (PITG)</v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/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/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/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/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/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/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/>
      <c r="G58" s="12"/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/>
      </c>
      <c r="Q58" s="12" t="str">
        <f>IFERROR(VLOOKUP(G58,categorieen!$D:$E,2,FALSE),"")</f>
        <v/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/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/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/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/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/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5</v>
      </c>
      <c r="E65" s="12">
        <v>13</v>
      </c>
      <c r="F65" s="12">
        <v>8</v>
      </c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Bekende Brabanders</v>
      </c>
      <c r="O65" s="12" t="str">
        <f>IFERROR(VLOOKUP(E65,categorieen!$D:$E,2,FALSE),"")</f>
        <v>Met dubbel T</v>
      </c>
      <c r="P65" s="12" t="str">
        <f>IFERROR(VLOOKUP(F65,categorieen!$D:$E,2,FALSE),"")</f>
        <v>040 (Eindhoven)</v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/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/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2</v>
      </c>
      <c r="F70" s="12">
        <v>19</v>
      </c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(stand)beeld / (Rijks)monument</v>
      </c>
      <c r="P70" s="12" t="str">
        <f>IFERROR(VLOOKUP(F70,categorieen!$D:$E,2,FALSE),"")</f>
        <v>Natuur</v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/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/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/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/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/>
      <c r="F78" s="12"/>
      <c r="G78" s="12"/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/>
      </c>
      <c r="P78" s="12" t="str">
        <f>IFERROR(VLOOKUP(F78,categorieen!$D:$E,2,FALSE),"")</f>
        <v/>
      </c>
      <c r="Q78" s="12" t="str">
        <f>IFERROR(VLOOKUP(G78,categorieen!$D:$E,2,FALSE),"")</f>
        <v/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/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>
        <v>31</v>
      </c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>Kleurrijk</v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/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/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/>
      <c r="H84" s="12"/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/>
      </c>
      <c r="R84" s="12" t="str">
        <f>IFERROR(VLOOKUP(H84,categorieen!$D:$E,2,FALSE),"")</f>
        <v/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/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/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/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/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/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8</v>
      </c>
      <c r="G88" s="12">
        <v>4</v>
      </c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040 (Eindhoven)</v>
      </c>
      <c r="Q88" s="12" t="str">
        <f>IFERROR(VLOOKUP(G88,categorieen!$D:$E,2,FALSE),"")</f>
        <v>Zes letters</v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/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/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/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/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/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/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/>
      <c r="F95" s="12"/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/>
      </c>
      <c r="P95" s="12" t="str">
        <f>IFERROR(VLOOKUP(F95,categorieen!$D:$E,2,FALSE),"")</f>
        <v/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/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/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/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/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/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/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/>
      <c r="F103" s="12"/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/>
      </c>
      <c r="P103" s="12" t="str">
        <f>IFERROR(VLOOKUP(F103,categorieen!$D:$E,2,FALSE),"")</f>
        <v/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/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/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/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/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/>
      <c r="I111" s="12"/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/>
      </c>
      <c r="S111" s="12" t="str">
        <f>IFERROR(VLOOKUP(I111,categorieen!$D:$E,2,FALSE),"")</f>
        <v/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/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7</v>
      </c>
      <c r="E114" s="12">
        <v>30</v>
      </c>
      <c r="F114" s="12">
        <v>40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Alaaf</v>
      </c>
      <c r="O114" s="12" t="str">
        <f>IFERROR(VLOOKUP(E114,categorieen!$D:$E,2,FALSE),"")</f>
        <v>In de volksmond (IDV)</v>
      </c>
      <c r="P114" s="12" t="str">
        <f>IFERROR(VLOOKUP(F114,categorieen!$D:$E,2,FALSE),"")</f>
        <v>Typisch Brabants (TB)</v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/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/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/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/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/>
      <c r="G117" s="12"/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/>
      </c>
      <c r="Q117" s="12" t="str">
        <f>IFERROR(VLOOKUP(G117,categorieen!$D:$E,2,FALSE),"")</f>
        <v/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/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/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30</v>
      </c>
      <c r="H120" s="12">
        <v>38</v>
      </c>
      <c r="I120" s="12">
        <v>2</v>
      </c>
      <c r="J120" s="12">
        <v>18</v>
      </c>
      <c r="K120" s="12">
        <v>11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In de volksmond (IDV)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11</v>
      </c>
      <c r="E124" s="12">
        <v>21</v>
      </c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Tilburg</v>
      </c>
      <c r="O124" s="12" t="str">
        <f>IFERROR(VLOOKUP(E124,categorieen!$D:$E,2,FALSE),"")</f>
        <v>West Brabant</v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31</v>
      </c>
      <c r="G126" s="12">
        <v>2</v>
      </c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Kleurrijk</v>
      </c>
      <c r="Q126" s="12" t="str">
        <f>IFERROR(VLOOKUP(G126,categorieen!$D:$E,2,FALSE),"")</f>
        <v>(stand)beeld / (Rijks)monument</v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/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/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8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040 (Eindhoven)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11" t="s">
        <v>174</v>
      </c>
      <c r="B129" s="12"/>
      <c r="C129" s="11">
        <v>2</v>
      </c>
      <c r="D129" s="11">
        <v>13</v>
      </c>
      <c r="E129" s="12"/>
      <c r="F129" s="12"/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/>
      </c>
      <c r="P129" s="12" t="str">
        <f>IFERROR(VLOOKUP(F129,categorieen!$D:$E,2,FALSE),"")</f>
        <v/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/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/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>
        <v>22</v>
      </c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>3x dezelfde letter</v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" right="0.7" top="0.75" bottom="0.75" header="0.3" footer="0.3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E3" sqref="E3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0.28515625" bestFit="1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16.42578125" bestFit="1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18.85546875" bestFit="1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37</v>
      </c>
      <c r="C1" s="21">
        <v>2</v>
      </c>
      <c r="E1" s="21">
        <v>33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s Hertogenbosch (DB)</v>
      </c>
      <c r="C2" s="21" t="str">
        <f>VLOOKUP(C1,categorieen!$A:$B,2,FALSE)</f>
        <v>(stand)beeld / (Rijks)monument</v>
      </c>
      <c r="E2" s="21" t="str">
        <f>VLOOKUP(E1,categorieen!$A:$B,2,FALSE)</f>
        <v>076 (Breda)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(aan de) Parade</v>
      </c>
      <c r="B3" s="22"/>
      <c r="C3" s="22" t="str" cm="1">
        <f t="array" aca="1" ref="C3:C47" ca="1">TRANSPOSE(Lijstjemaken(C1))</f>
        <v>Assumburg</v>
      </c>
      <c r="D3" s="22"/>
      <c r="E3" s="22" t="str" cm="1">
        <f t="array" aca="1" ref="E3:E47" ca="1">TRANSPOSE(Lijstjemaken(E1))</f>
        <v>Bouvigne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Bergen op Zoom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A2</v>
      </c>
      <c r="B4" s="22"/>
      <c r="C4" s="22" t="str">
        <f ca="1"/>
        <v>Borstbeeld Asselbergs (BA)</v>
      </c>
      <c r="D4" s="22"/>
      <c r="E4" s="22" t="str">
        <f ca="1"/>
        <v>Chassé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Bram Braam</v>
      </c>
      <c r="V4" s="22"/>
      <c r="W4" s="22" t="str">
        <f ca="1"/>
        <v>Bergsche Maas</v>
      </c>
      <c r="X4" s="22"/>
      <c r="Y4" s="22" t="str">
        <f ca="1"/>
        <v>Ihattaren</v>
      </c>
      <c r="Z4" s="22"/>
      <c r="AA4" s="22" t="str">
        <f ca="1"/>
        <v>Assumburg</v>
      </c>
      <c r="AB4" s="22"/>
      <c r="AC4" s="22" t="str">
        <f ca="1"/>
        <v>A2</v>
      </c>
      <c r="AD4" s="22"/>
      <c r="AE4" s="22" t="str">
        <f ca="1"/>
        <v>De Heuvel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Elastiek</v>
      </c>
      <c r="AN4" s="22"/>
      <c r="AO4" s="22" t="str">
        <f ca="1"/>
        <v>Chassé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Binnen Dieze</v>
      </c>
      <c r="B5" s="22"/>
      <c r="C5" s="22" t="str">
        <f ca="1"/>
        <v>Bouvigne</v>
      </c>
      <c r="D5" s="22"/>
      <c r="E5" s="22" t="str">
        <f ca="1"/>
        <v>De 3 van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Broekhoven</v>
      </c>
      <c r="V5" s="22"/>
      <c r="W5" s="22" t="str">
        <f ca="1"/>
        <v>Binnen Dieze</v>
      </c>
      <c r="X5" s="22"/>
      <c r="Y5" s="22" t="str">
        <f ca="1"/>
        <v>Lunetten</v>
      </c>
      <c r="Z5" s="22"/>
      <c r="AA5" s="22" t="str">
        <f ca="1"/>
        <v>Bouvigne</v>
      </c>
      <c r="AB5" s="22"/>
      <c r="AC5" s="22" t="str">
        <f ca="1"/>
        <v>De 3 van</v>
      </c>
      <c r="AD5" s="22"/>
      <c r="AE5" s="22" t="str">
        <f ca="1"/>
        <v>De Pelikaan</v>
      </c>
      <c r="AF5" s="22"/>
      <c r="AG5" s="22" t="str">
        <f ca="1"/>
        <v>Chassé</v>
      </c>
      <c r="AH5" s="22"/>
      <c r="AI5" s="22" t="str">
        <f ca="1"/>
        <v>Joris Mathijsen (JM)</v>
      </c>
      <c r="AJ5" s="22"/>
      <c r="AK5" s="22" t="str">
        <f ca="1"/>
        <v>Binnen Dieze</v>
      </c>
      <c r="AL5" s="22"/>
      <c r="AM5" s="22" t="str">
        <f ca="1"/>
        <v>Glow</v>
      </c>
      <c r="AN5" s="22"/>
      <c r="AO5" s="22" t="str">
        <f ca="1"/>
        <v>De 3 van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Bossche Broek</v>
      </c>
      <c r="B6" s="22"/>
      <c r="C6" s="22" t="str">
        <f ca="1"/>
        <v>De Blauwe Camer</v>
      </c>
      <c r="D6" s="22"/>
      <c r="E6" s="22" t="str">
        <f ca="1"/>
        <v>De Koepel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Biesbosch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Bud Brocken</v>
      </c>
      <c r="V6" s="22"/>
      <c r="W6" s="22" t="str">
        <f ca="1"/>
        <v>Borghs</v>
      </c>
      <c r="X6" s="22"/>
      <c r="Y6" s="22" t="str">
        <f ca="1"/>
        <v>Moerputten</v>
      </c>
      <c r="Z6" s="22"/>
      <c r="AA6" s="22" t="str">
        <f ca="1"/>
        <v>Broekhoven</v>
      </c>
      <c r="AB6" s="22"/>
      <c r="AC6" s="22" t="str">
        <f ca="1"/>
        <v>De 2 Gebroeders</v>
      </c>
      <c r="AD6" s="22"/>
      <c r="AE6" s="22" t="str">
        <f ca="1"/>
        <v>Heeswijk</v>
      </c>
      <c r="AF6" s="22"/>
      <c r="AG6" s="22" t="str">
        <f ca="1"/>
        <v>Diessen</v>
      </c>
      <c r="AH6" s="22"/>
      <c r="AI6" s="22" t="str">
        <f ca="1"/>
        <v>Piet de Visser</v>
      </c>
      <c r="AJ6" s="22"/>
      <c r="AK6" s="22" t="str">
        <f ca="1"/>
        <v>Bossche Broek</v>
      </c>
      <c r="AL6" s="22"/>
      <c r="AM6" s="22" t="str">
        <f ca="1"/>
        <v>Halve Zolen</v>
      </c>
      <c r="AN6" s="22"/>
      <c r="AO6" s="22" t="str">
        <f ca="1"/>
        <v>De Eeendracht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De Twee Pinten</v>
      </c>
      <c r="B7" s="22"/>
      <c r="C7" s="22" t="str">
        <f ca="1"/>
        <v>De Koepel</v>
      </c>
      <c r="D7" s="22"/>
      <c r="E7" s="22" t="str">
        <f ca="1"/>
        <v>De Paarse Heide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Biestse Boulers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De Heuvel</v>
      </c>
      <c r="V7" s="22"/>
      <c r="W7" s="22" t="str">
        <f ca="1"/>
        <v>Cartierheide</v>
      </c>
      <c r="X7" s="22"/>
      <c r="Y7" s="22" t="str">
        <f ca="1"/>
        <v>Sint Juttemis</v>
      </c>
      <c r="Z7" s="22"/>
      <c r="AA7" s="22" t="str">
        <f ca="1"/>
        <v>De Blauwe Camer</v>
      </c>
      <c r="AB7" s="22"/>
      <c r="AC7" s="22" t="str">
        <f ca="1"/>
        <v>De Twee Pinten</v>
      </c>
      <c r="AD7" s="22"/>
      <c r="AE7" s="22" t="str">
        <f ca="1"/>
        <v>Heimolen</v>
      </c>
      <c r="AF7" s="22"/>
      <c r="AG7" s="22" t="str">
        <f ca="1"/>
        <v>Frits Spits</v>
      </c>
      <c r="AH7" s="22"/>
      <c r="AI7" s="22" t="str">
        <f ca="1"/>
        <v>Roel van Hemert</v>
      </c>
      <c r="AJ7" s="22"/>
      <c r="AK7" s="22" t="str">
        <f ca="1"/>
        <v>Bouvigne</v>
      </c>
      <c r="AL7" s="22"/>
      <c r="AM7" s="22" t="str">
        <f ca="1"/>
        <v>Intents</v>
      </c>
      <c r="AN7" s="22"/>
      <c r="AO7" s="22" t="str">
        <f ca="1"/>
        <v>De Koepel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Drakenfontein</v>
      </c>
      <c r="B8" s="22"/>
      <c r="C8" s="22" t="str">
        <f ca="1"/>
        <v>De Korenbloem</v>
      </c>
      <c r="D8" s="22"/>
      <c r="E8" s="22" t="str">
        <f ca="1"/>
        <v>Lies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Bossche Broek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Kruikezeiker</v>
      </c>
      <c r="V8" s="22"/>
      <c r="W8" s="22" t="str">
        <f ca="1"/>
        <v>De Eeendracht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Zwaan 1623</v>
      </c>
      <c r="AD8" s="22"/>
      <c r="AE8" s="22" t="str">
        <f ca="1"/>
        <v>Lies</v>
      </c>
      <c r="AF8" s="22"/>
      <c r="AG8" s="22" t="str">
        <f ca="1"/>
        <v>Liessel</v>
      </c>
      <c r="AH8" s="22"/>
      <c r="AI8" s="22" t="str">
        <f ca="1"/>
        <v>Van Geel</v>
      </c>
      <c r="AJ8" s="22"/>
      <c r="AK8" s="22" t="str">
        <f ca="1"/>
        <v>Cartierheide</v>
      </c>
      <c r="AL8" s="22"/>
      <c r="AM8" s="22" t="str">
        <f ca="1"/>
        <v>KVL</v>
      </c>
      <c r="AN8" s="22"/>
      <c r="AO8" s="22" t="str">
        <f ca="1"/>
        <v>De Paarse Heide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Halve Zolen</v>
      </c>
      <c r="B9" s="22"/>
      <c r="C9" s="22" t="str">
        <f ca="1"/>
        <v>De Laat</v>
      </c>
      <c r="D9" s="22"/>
      <c r="E9" s="22" t="str">
        <f ca="1"/>
        <v>NAC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Bram Braam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Petrus en Paulus (PP)</v>
      </c>
      <c r="V9" s="22"/>
      <c r="W9" s="22" t="str">
        <f ca="1"/>
        <v>Ijzeren man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Halve Zolen</v>
      </c>
      <c r="AD9" s="22"/>
      <c r="AE9" s="22" t="str">
        <f ca="1"/>
        <v>Noenes</v>
      </c>
      <c r="AF9" s="22"/>
      <c r="AG9" s="22" t="str">
        <f ca="1"/>
        <v>Oss</v>
      </c>
      <c r="AH9" s="22"/>
      <c r="AI9" s="22" t="str">
        <f ca="1"/>
        <v>Van Roessel</v>
      </c>
      <c r="AJ9" s="22"/>
      <c r="AK9" s="22" t="str">
        <f ca="1"/>
        <v>De Eeendracht</v>
      </c>
      <c r="AL9" s="22"/>
      <c r="AM9" s="22" t="str">
        <f ca="1"/>
        <v>Paaspop</v>
      </c>
      <c r="AN9" s="22"/>
      <c r="AO9" s="22" t="str">
        <f ca="1"/>
        <v>De Pelikaan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Moerputten</v>
      </c>
      <c r="B10" s="22"/>
      <c r="C10" s="22" t="str">
        <f ca="1"/>
        <v>De 2 Gebroeders</v>
      </c>
      <c r="D10" s="22"/>
      <c r="E10" s="22" t="str">
        <f ca="1"/>
        <v>Sint Joris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Bud Brocken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(plein) 1969</v>
      </c>
      <c r="R10" s="22"/>
      <c r="S10" s="22">
        <f ca="1"/>
        <v>0</v>
      </c>
      <c r="T10" s="22"/>
      <c r="U10" s="22" t="str">
        <f ca="1"/>
        <v>Roze Maandag</v>
      </c>
      <c r="V10" s="22"/>
      <c r="W10" s="22" t="str">
        <f ca="1"/>
        <v>Moerputten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(plein) 1969</v>
      </c>
      <c r="AD10" s="22"/>
      <c r="AE10" s="22" t="str">
        <f ca="1"/>
        <v>Noordhoek</v>
      </c>
      <c r="AF10" s="22"/>
      <c r="AG10" s="22" t="str">
        <f ca="1"/>
        <v>Piet de Visser</v>
      </c>
      <c r="AH10" s="22"/>
      <c r="AI10" s="22">
        <f ca="1"/>
        <v>0</v>
      </c>
      <c r="AJ10" s="22"/>
      <c r="AK10" s="22" t="str">
        <f ca="1"/>
        <v>De Korenbloem</v>
      </c>
      <c r="AL10" s="22"/>
      <c r="AM10" s="22" t="str">
        <f ca="1"/>
        <v>Paperclip</v>
      </c>
      <c r="AN10" s="22"/>
      <c r="AO10" s="22" t="str">
        <f ca="1"/>
        <v>De 2 Gebroeders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Oosterplas</v>
      </c>
      <c r="B11" s="22"/>
      <c r="C11" s="22" t="str">
        <f ca="1"/>
        <v>De Zwaan 1623</v>
      </c>
      <c r="D11" s="22"/>
      <c r="E11" s="22" t="str">
        <f ca="1"/>
        <v>Sint Juttemis</v>
      </c>
      <c r="F11" s="22"/>
      <c r="G11" s="22" t="str">
        <f ca="1"/>
        <v>Eersel</v>
      </c>
      <c r="H11" s="22"/>
      <c r="I11" s="22" t="str">
        <f ca="1"/>
        <v>Ihattaren</v>
      </c>
      <c r="J11" s="22"/>
      <c r="K11" s="22">
        <f ca="1"/>
        <v>0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Wilhelminapark (WP)</v>
      </c>
      <c r="R11" s="22"/>
      <c r="S11" s="22">
        <f ca="1"/>
        <v>0</v>
      </c>
      <c r="T11" s="22"/>
      <c r="U11" s="22" t="str">
        <f ca="1"/>
        <v>Schrobbelèr</v>
      </c>
      <c r="V11" s="22"/>
      <c r="W11" s="22" t="str">
        <f ca="1"/>
        <v>Oosterplas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Vijfhuizen</v>
      </c>
      <c r="AD11" s="22"/>
      <c r="AE11" s="22" t="str">
        <f ca="1"/>
        <v>t Zand</v>
      </c>
      <c r="AF11" s="22"/>
      <c r="AG11" s="22" t="str">
        <f ca="1"/>
        <v>Ripasso</v>
      </c>
      <c r="AH11" s="22"/>
      <c r="AI11" s="22">
        <f ca="1"/>
        <v>0</v>
      </c>
      <c r="AJ11" s="22"/>
      <c r="AK11" s="22" t="str">
        <f ca="1"/>
        <v>De Paarse Heide</v>
      </c>
      <c r="AL11" s="22"/>
      <c r="AM11" s="22" t="str">
        <f ca="1"/>
        <v>Roze Maandag</v>
      </c>
      <c r="AN11" s="22"/>
      <c r="AO11" s="22" t="str">
        <f ca="1"/>
        <v>Heimolen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Sint Jan</v>
      </c>
      <c r="B12" s="22"/>
      <c r="C12" s="22" t="str">
        <f ca="1"/>
        <v>Drakenfontein</v>
      </c>
      <c r="D12" s="22"/>
      <c r="E12" s="22" t="str">
        <f ca="1"/>
        <v>Wilhelminapark (WP)</v>
      </c>
      <c r="F12" s="22"/>
      <c r="G12" s="22" t="str">
        <f ca="1"/>
        <v>Houdoe</v>
      </c>
      <c r="H12" s="22"/>
      <c r="I12" s="22" t="str">
        <f ca="1"/>
        <v>Joris Mathijsen (JM)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>
        <f ca="1"/>
        <v>0</v>
      </c>
      <c r="R12" s="22"/>
      <c r="S12" s="22">
        <f ca="1"/>
        <v>0</v>
      </c>
      <c r="T12" s="22"/>
      <c r="U12" s="22" t="str">
        <f ca="1"/>
        <v>t Kruiken(plein)</v>
      </c>
      <c r="V12" s="22"/>
      <c r="W12" s="22" t="str">
        <f ca="1"/>
        <v>t Blauwe Meer</v>
      </c>
      <c r="X12" s="22"/>
      <c r="Y12" s="22">
        <f ca="1"/>
        <v>0</v>
      </c>
      <c r="Z12" s="22"/>
      <c r="AA12" s="22">
        <f ca="1"/>
        <v>0</v>
      </c>
      <c r="AB12" s="22"/>
      <c r="AC12" s="22" t="str">
        <f ca="1"/>
        <v>7ende Hemel</v>
      </c>
      <c r="AD12" s="22"/>
      <c r="AE12" s="22" t="str">
        <f ca="1"/>
        <v>Vijfhuizen</v>
      </c>
      <c r="AF12" s="22"/>
      <c r="AG12" s="22" t="str">
        <f ca="1"/>
        <v>Van Roessel</v>
      </c>
      <c r="AH12" s="22"/>
      <c r="AI12" s="22">
        <f ca="1"/>
        <v>0</v>
      </c>
      <c r="AJ12" s="22"/>
      <c r="AK12" s="22" t="str">
        <f ca="1"/>
        <v>Gorp en Roovert</v>
      </c>
      <c r="AL12" s="22"/>
      <c r="AM12" s="22" t="str">
        <f ca="1"/>
        <v>Wilhelminapark (WP)</v>
      </c>
      <c r="AN12" s="22"/>
      <c r="AO12" s="22" t="str">
        <f ca="1"/>
        <v>Lies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7ende Hemel</v>
      </c>
      <c r="B13" s="22"/>
      <c r="C13" s="22" t="str">
        <f ca="1"/>
        <v>Evoluon</v>
      </c>
      <c r="D13" s="22"/>
      <c r="E13" s="22">
        <f ca="1"/>
        <v>0</v>
      </c>
      <c r="F13" s="22"/>
      <c r="G13" s="22" t="str">
        <f ca="1"/>
        <v>Hulsel</v>
      </c>
      <c r="H13" s="22"/>
      <c r="I13" s="22" t="str">
        <f ca="1"/>
        <v>Michael van Gerwen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Vijfhuizen</v>
      </c>
      <c r="V13" s="22"/>
      <c r="W13" s="22" t="str">
        <f ca="1"/>
        <v>t Zand</v>
      </c>
      <c r="X13" s="22"/>
      <c r="Y13" s="22">
        <f ca="1"/>
        <v>0</v>
      </c>
      <c r="Z13" s="22"/>
      <c r="AA13" s="22">
        <f ca="1"/>
        <v>0</v>
      </c>
      <c r="AB13" s="22"/>
      <c r="AC13" s="22">
        <f ca="1"/>
        <v>0</v>
      </c>
      <c r="AD13" s="22"/>
      <c r="AE13" s="22" t="str">
        <f ca="1"/>
        <v>Winkel</v>
      </c>
      <c r="AF13" s="22"/>
      <c r="AG13" s="22">
        <f ca="1"/>
        <v>0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>
        <f ca="1"/>
        <v>0</v>
      </c>
      <c r="AN13" s="22"/>
      <c r="AO13" s="22" t="str">
        <f ca="1"/>
        <v>Nieuw Vossemeer</v>
      </c>
      <c r="AP13" s="22"/>
      <c r="AQ13" s="22" t="str">
        <f ca="1"/>
        <v>De Eeendracht</v>
      </c>
      <c r="AR13" s="22"/>
    </row>
    <row r="14" spans="1:44" x14ac:dyDescent="0.25">
      <c r="A14" s="22">
        <f ca="1"/>
        <v>0</v>
      </c>
      <c r="B14" s="22"/>
      <c r="C14" s="22" t="str">
        <f ca="1"/>
        <v>Frits Philips</v>
      </c>
      <c r="D14" s="22"/>
      <c r="E14" s="22">
        <f ca="1"/>
        <v>0</v>
      </c>
      <c r="F14" s="22"/>
      <c r="G14" s="22" t="str">
        <f ca="1"/>
        <v>Noenes</v>
      </c>
      <c r="H14" s="22"/>
      <c r="I14" s="22" t="str">
        <f ca="1"/>
        <v>Ria Valk</v>
      </c>
      <c r="J14" s="22"/>
      <c r="K14" s="22">
        <f ca="1"/>
        <v>0</v>
      </c>
      <c r="L14" s="22"/>
      <c r="M14" s="22" t="str">
        <f ca="1"/>
        <v>Strontrapers</v>
      </c>
      <c r="N14" s="22"/>
      <c r="O14" s="22" t="str">
        <f ca="1"/>
        <v>Nuenen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Westpoint</v>
      </c>
      <c r="V14" s="22"/>
      <c r="W14" s="22">
        <f ca="1"/>
        <v>0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>
        <f ca="1"/>
        <v>0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>
        <f ca="1"/>
        <v>0</v>
      </c>
      <c r="AN14" s="22"/>
      <c r="AO14" s="22" t="str">
        <f ca="1"/>
        <v>Noordhoek</v>
      </c>
      <c r="AP14" s="22"/>
      <c r="AQ14" s="22" t="str">
        <f ca="1"/>
        <v>De Heuvel</v>
      </c>
      <c r="AR14" s="22"/>
    </row>
    <row r="15" spans="1:44" x14ac:dyDescent="0.25">
      <c r="A15" s="22">
        <f ca="1"/>
        <v>0</v>
      </c>
      <c r="B15" s="22"/>
      <c r="C15" s="22" t="str">
        <f ca="1"/>
        <v>Heeswijk</v>
      </c>
      <c r="D15" s="22"/>
      <c r="E15" s="22">
        <f ca="1"/>
        <v>0</v>
      </c>
      <c r="F15" s="22"/>
      <c r="G15" s="22" t="str">
        <f ca="1"/>
        <v>Nuenen</v>
      </c>
      <c r="H15" s="22"/>
      <c r="I15" s="22" t="str">
        <f ca="1"/>
        <v>Simon Tahamata</v>
      </c>
      <c r="J15" s="22"/>
      <c r="K15" s="22">
        <f ca="1"/>
        <v>0</v>
      </c>
      <c r="L15" s="22"/>
      <c r="M15" s="22" t="str">
        <f ca="1"/>
        <v>t Kruiken(plein)</v>
      </c>
      <c r="N15" s="22"/>
      <c r="O15" s="22" t="str">
        <f ca="1"/>
        <v>Pand 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Wilhelminapark (WP)</v>
      </c>
      <c r="V15" s="22"/>
      <c r="W15" s="22">
        <f ca="1"/>
        <v>0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>
        <f ca="1"/>
        <v>0</v>
      </c>
      <c r="AN15" s="22"/>
      <c r="AO15" s="22" t="str">
        <f ca="1"/>
        <v>Ripasso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Helmond</v>
      </c>
      <c r="D16" s="22"/>
      <c r="E16" s="22">
        <f ca="1"/>
        <v>0</v>
      </c>
      <c r="F16" s="22"/>
      <c r="G16" s="22" t="str">
        <f ca="1"/>
        <v>Papgat</v>
      </c>
      <c r="H16" s="22"/>
      <c r="I16" s="22" t="str">
        <f ca="1"/>
        <v>Van Geel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>
        <f ca="1"/>
        <v>0</v>
      </c>
      <c r="V16" s="22"/>
      <c r="W16" s="22">
        <f ca="1"/>
        <v>0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 t="str">
        <f ca="1"/>
        <v>St. Willebrord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Kampina</v>
      </c>
      <c r="D17" s="22"/>
      <c r="E17" s="22">
        <f ca="1"/>
        <v>0</v>
      </c>
      <c r="F17" s="22"/>
      <c r="G17" s="22" t="str">
        <f ca="1"/>
        <v>Winkel</v>
      </c>
      <c r="H17" s="22"/>
      <c r="I17" s="22" t="str">
        <f ca="1"/>
        <v>Van Roessel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>
        <f ca="1"/>
        <v>0</v>
      </c>
      <c r="V17" s="22"/>
      <c r="W17" s="22">
        <f ca="1"/>
        <v>0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Oosterplas</v>
      </c>
      <c r="AL17" s="22"/>
      <c r="AM17" s="22">
        <f ca="1"/>
        <v>0</v>
      </c>
      <c r="AN17" s="22"/>
      <c r="AO17" s="22" t="str">
        <f ca="1"/>
        <v>t Zand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KVL</v>
      </c>
      <c r="D18" s="22"/>
      <c r="E18" s="22">
        <f ca="1"/>
        <v>0</v>
      </c>
      <c r="F18" s="22"/>
      <c r="G18" s="22">
        <f ca="1"/>
        <v>0</v>
      </c>
      <c r="H18" s="22"/>
      <c r="I18" s="22" t="str">
        <f ca="1"/>
        <v>Wim van Est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Wintelre</v>
      </c>
      <c r="P18" s="22"/>
      <c r="Q18" s="22">
        <f ca="1"/>
        <v>0</v>
      </c>
      <c r="R18" s="22"/>
      <c r="S18" s="22">
        <f ca="1"/>
        <v>0</v>
      </c>
      <c r="T18" s="22"/>
      <c r="U18" s="22">
        <f ca="1"/>
        <v>0</v>
      </c>
      <c r="V18" s="22"/>
      <c r="W18" s="22">
        <f ca="1"/>
        <v>0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Venkraai</v>
      </c>
      <c r="AL18" s="22"/>
      <c r="AM18" s="22">
        <f ca="1"/>
        <v>0</v>
      </c>
      <c r="AN18" s="22"/>
      <c r="AO18" s="22" t="str">
        <f ca="1"/>
        <v>Westpoint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Maurick</v>
      </c>
      <c r="D19" s="22"/>
      <c r="E19" s="22">
        <f ca="1"/>
        <v>0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>
        <f ca="1"/>
        <v>0</v>
      </c>
      <c r="V19" s="22"/>
      <c r="W19" s="22">
        <f ca="1"/>
        <v>0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Wilhelminapark (WP)</v>
      </c>
      <c r="AL19" s="22"/>
      <c r="AM19" s="22">
        <f ca="1"/>
        <v>0</v>
      </c>
      <c r="AN19" s="22"/>
      <c r="AO19" s="22" t="str">
        <f ca="1"/>
        <v>Wilhelminapark (WP)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Nemerlaer</v>
      </c>
      <c r="D20" s="22"/>
      <c r="E20" s="22">
        <f ca="1"/>
        <v>0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>
        <f ca="1"/>
        <v>0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>
        <f ca="1"/>
        <v>0</v>
      </c>
      <c r="AL20" s="22"/>
      <c r="AM20" s="22">
        <f ca="1"/>
        <v>0</v>
      </c>
      <c r="AN20" s="22"/>
      <c r="AO20" s="22" t="str">
        <f ca="1"/>
        <v>Wouw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 t="str">
        <f ca="1"/>
        <v>Sint Jan</v>
      </c>
      <c r="D21" s="22"/>
      <c r="E21" s="22">
        <f ca="1"/>
        <v>0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>
        <f ca="1"/>
        <v>0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 t="str">
        <f ca="1"/>
        <v>Sint Joris</v>
      </c>
      <c r="D22" s="22"/>
      <c r="E22" s="22">
        <f ca="1"/>
        <v>0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 t="str">
        <f ca="1"/>
        <v>Van Roessel</v>
      </c>
      <c r="D23" s="22"/>
      <c r="E23" s="22">
        <f ca="1"/>
        <v>0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 t="str">
        <f ca="1"/>
        <v>Wim van Est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 t="str">
        <f ca="1"/>
        <v>Witte Dame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 t="str">
        <f ca="1"/>
        <v>Zittend Meisje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 t="str">
        <f ca="1"/>
        <v>Zittend Meisje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Paarse Heide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De Zotte Mulders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Sint Agatha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Intents</v>
      </c>
      <c r="Z53" s="22"/>
      <c r="AA53" s="22" t="str">
        <f ca="1"/>
        <v>De Heuvel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De Pelikaan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Anthonis</v>
      </c>
      <c r="L54" s="22"/>
      <c r="M54" s="22" t="str">
        <f ca="1"/>
        <v>Borstbeeld Asselbergs (BA)</v>
      </c>
      <c r="N54" s="22"/>
      <c r="O54" s="22" t="str">
        <f ca="1"/>
        <v>Halve Zolen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Koepel</v>
      </c>
      <c r="V54" s="22"/>
      <c r="W54" s="22" t="str">
        <f ca="1"/>
        <v>De Leest</v>
      </c>
      <c r="X54" s="22"/>
      <c r="Y54" s="22" t="str">
        <f ca="1"/>
        <v>Kampina</v>
      </c>
      <c r="Z54" s="22"/>
      <c r="AA54" s="22" t="str">
        <f ca="1"/>
        <v>De Vrijthof</v>
      </c>
      <c r="AB54" s="22"/>
      <c r="AC54" s="22" t="str">
        <f ca="1"/>
        <v>Bossche Broek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De Paarse Heide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Drakenfontein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Jan</v>
      </c>
      <c r="L55" s="22"/>
      <c r="M55" s="22" t="str">
        <f ca="1"/>
        <v>De Vrijthof</v>
      </c>
      <c r="N55" s="22"/>
      <c r="O55" s="22" t="str">
        <f ca="1"/>
        <v>Houdoe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Paarse Heide</v>
      </c>
      <c r="V55" s="22"/>
      <c r="W55" s="22" t="str">
        <f ca="1"/>
        <v>De Pelikaan</v>
      </c>
      <c r="X55" s="22"/>
      <c r="Y55" s="22" t="str">
        <f ca="1"/>
        <v>KVL</v>
      </c>
      <c r="Z55" s="22"/>
      <c r="AA55" s="22" t="str">
        <f ca="1"/>
        <v>(plein) 1969</v>
      </c>
      <c r="AB55" s="22"/>
      <c r="AC55" s="22" t="str">
        <f ca="1"/>
        <v>De Twee Pinten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Elastiek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KVL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De Blauwe Camer</v>
      </c>
      <c r="J56" s="22"/>
      <c r="K56" s="22" t="str">
        <f ca="1"/>
        <v>Sint Joris</v>
      </c>
      <c r="L56" s="22"/>
      <c r="M56" s="22" t="str">
        <f ca="1"/>
        <v>Diessen</v>
      </c>
      <c r="N56" s="22"/>
      <c r="O56" s="22" t="str">
        <f ca="1"/>
        <v>Kruikezeiker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Lies</v>
      </c>
      <c r="V56" s="22"/>
      <c r="W56" s="22" t="str">
        <f ca="1"/>
        <v>De 2 Gebroeders</v>
      </c>
      <c r="X56" s="22"/>
      <c r="Y56" s="22" t="str">
        <f ca="1"/>
        <v>Lieve Lente</v>
      </c>
      <c r="Z56" s="22"/>
      <c r="AA56" s="22" t="str">
        <f ca="1"/>
        <v>t Kruiken(plein)</v>
      </c>
      <c r="AB56" s="22"/>
      <c r="AC56" s="22" t="str">
        <f ca="1"/>
        <v>Drakenfontein</v>
      </c>
      <c r="AD56" s="22"/>
      <c r="AE56" s="22" t="str">
        <f ca="1"/>
        <v>Ihattaren</v>
      </c>
      <c r="AF56" s="22"/>
      <c r="AG56" s="22" t="str">
        <f ca="1"/>
        <v>Vestzak</v>
      </c>
      <c r="AH56" s="22"/>
      <c r="AI56" s="22" t="str">
        <f ca="1"/>
        <v>Halve Zolen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Nieuw Vossemeer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Brand (herberg)</v>
      </c>
      <c r="J57" s="22"/>
      <c r="K57" s="22" t="str">
        <f ca="1"/>
        <v>Sint Juttemis</v>
      </c>
      <c r="L57" s="22"/>
      <c r="M57" s="22" t="str">
        <f ca="1"/>
        <v>Elastiek</v>
      </c>
      <c r="N57" s="22"/>
      <c r="O57" s="22" t="str">
        <f ca="1"/>
        <v>Papgat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NAC</v>
      </c>
      <c r="V57" s="22"/>
      <c r="W57" s="22" t="str">
        <f ca="1"/>
        <v>De Zotte Mulders</v>
      </c>
      <c r="X57" s="22"/>
      <c r="Y57" s="22" t="str">
        <f ca="1"/>
        <v>Venkraai</v>
      </c>
      <c r="Z57" s="22"/>
      <c r="AA57" s="22">
        <f ca="1"/>
        <v>0</v>
      </c>
      <c r="AB57" s="22"/>
      <c r="AC57" s="22" t="str">
        <f ca="1"/>
        <v>Halve Zolen</v>
      </c>
      <c r="AD57" s="22"/>
      <c r="AE57" s="22" t="str">
        <f ca="1"/>
        <v>Joris Mathijsen (JM)</v>
      </c>
      <c r="AF57" s="22"/>
      <c r="AG57" s="22">
        <f ca="1"/>
        <v>0</v>
      </c>
      <c r="AH57" s="22"/>
      <c r="AI57" s="22" t="str">
        <f ca="1"/>
        <v>Houdoe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Oss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Pelikaan</v>
      </c>
      <c r="J58" s="22"/>
      <c r="K58" s="22" t="str">
        <f ca="1"/>
        <v>St. Willebrord</v>
      </c>
      <c r="L58" s="22"/>
      <c r="M58" s="22" t="str">
        <f ca="1"/>
        <v>Gorp en Roovert</v>
      </c>
      <c r="N58" s="22"/>
      <c r="O58" s="22" t="str">
        <f ca="1"/>
        <v>Papzakken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Sint Joris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>
        <f ca="1"/>
        <v>0</v>
      </c>
      <c r="AB58" s="22"/>
      <c r="AC58" s="22" t="str">
        <f ca="1"/>
        <v>Moerputten</v>
      </c>
      <c r="AD58" s="22"/>
      <c r="AE58" s="22" t="str">
        <f ca="1"/>
        <v>Michael van Gerwen</v>
      </c>
      <c r="AF58" s="22"/>
      <c r="AG58" s="22">
        <f ca="1"/>
        <v>0</v>
      </c>
      <c r="AH58" s="22"/>
      <c r="AI58" s="22" t="str">
        <f ca="1"/>
        <v>Lampegat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Piet de Visser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Zwaan 1623</v>
      </c>
      <c r="J59" s="22"/>
      <c r="K59" s="22">
        <f ca="1"/>
        <v>0</v>
      </c>
      <c r="L59" s="22"/>
      <c r="M59" s="22" t="str">
        <f ca="1"/>
        <v>Sint Joris</v>
      </c>
      <c r="N59" s="22"/>
      <c r="O59" s="22" t="str">
        <f ca="1"/>
        <v>Ploegersland</v>
      </c>
      <c r="P59" s="22"/>
      <c r="Q59" s="22" t="str">
        <f ca="1"/>
        <v>Michael van Gerwen</v>
      </c>
      <c r="R59" s="22"/>
      <c r="S59" s="22" t="str">
        <f ca="1"/>
        <v>Lies</v>
      </c>
      <c r="T59" s="22"/>
      <c r="U59" s="22" t="str">
        <f ca="1"/>
        <v>Sint Juttemis</v>
      </c>
      <c r="V59" s="22"/>
      <c r="W59" s="22" t="str">
        <f ca="1"/>
        <v>Heimolen</v>
      </c>
      <c r="X59" s="22"/>
      <c r="Y59" s="22">
        <f ca="1"/>
        <v>0</v>
      </c>
      <c r="Z59" s="22"/>
      <c r="AA59" s="22">
        <f ca="1"/>
        <v>0</v>
      </c>
      <c r="AB59" s="22"/>
      <c r="AC59" s="22" t="str">
        <f ca="1"/>
        <v>Oosterplas</v>
      </c>
      <c r="AD59" s="22"/>
      <c r="AE59" s="22" t="str">
        <f ca="1"/>
        <v>NAC</v>
      </c>
      <c r="AF59" s="22"/>
      <c r="AG59" s="22">
        <f ca="1"/>
        <v>0</v>
      </c>
      <c r="AH59" s="22"/>
      <c r="AI59" s="22" t="str">
        <f ca="1"/>
        <v>Ploegersland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Ria Valk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Elastiek</v>
      </c>
      <c r="J60" s="22"/>
      <c r="K60" s="22">
        <f ca="1"/>
        <v>0</v>
      </c>
      <c r="L60" s="22"/>
      <c r="M60" s="22">
        <f ca="1"/>
        <v>0</v>
      </c>
      <c r="N60" s="22"/>
      <c r="O60" s="22" t="str">
        <f ca="1"/>
        <v>Rooi</v>
      </c>
      <c r="P60" s="22"/>
      <c r="Q60" s="22" t="str">
        <f ca="1"/>
        <v>Paperclip</v>
      </c>
      <c r="R60" s="22"/>
      <c r="S60" s="22" t="str">
        <f ca="1"/>
        <v>Liessel</v>
      </c>
      <c r="T60" s="22"/>
      <c r="U60" s="22" t="str">
        <f ca="1"/>
        <v>Wilhelminapark (WP)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>
        <f ca="1"/>
        <v>0</v>
      </c>
      <c r="AB60" s="22"/>
      <c r="AC60" s="22" t="str">
        <f ca="1"/>
        <v>Sint Jan</v>
      </c>
      <c r="AD60" s="22"/>
      <c r="AE60" s="22" t="str">
        <f ca="1"/>
        <v>Nooit Gedacht</v>
      </c>
      <c r="AF60" s="22"/>
      <c r="AG60" s="22">
        <f ca="1"/>
        <v>0</v>
      </c>
      <c r="AH60" s="22"/>
      <c r="AI60" s="22" t="str">
        <f ca="1"/>
        <v>Schrobbelèr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Venkraai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In 't Groene Woud (GW)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Sint Juttemis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>
        <f ca="1"/>
        <v>0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>
        <f ca="1"/>
        <v>0</v>
      </c>
      <c r="AB61" s="22"/>
      <c r="AC61" s="22" t="str">
        <f ca="1"/>
        <v>7ende Hemel</v>
      </c>
      <c r="AD61" s="22"/>
      <c r="AE61" s="22" t="str">
        <f ca="1"/>
        <v>Piet de Visser</v>
      </c>
      <c r="AF61" s="22"/>
      <c r="AG61" s="22">
        <f ca="1"/>
        <v>0</v>
      </c>
      <c r="AH61" s="22"/>
      <c r="AI61" s="22" t="str">
        <f ca="1"/>
        <v>Snuifscheppers (SFS)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Worstenbroodje (WB)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7ende Hemel</v>
      </c>
      <c r="H62" s="22"/>
      <c r="I62" s="22" t="str">
        <f ca="1"/>
        <v>Lieve Lente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Snuifscheppers (SFS)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>
        <f ca="1"/>
        <v>0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>
        <f ca="1"/>
        <v>0</v>
      </c>
      <c r="AB62" s="22"/>
      <c r="AC62" s="22">
        <f ca="1"/>
        <v>0</v>
      </c>
      <c r="AD62" s="22"/>
      <c r="AE62" s="22" t="str">
        <f ca="1"/>
        <v>Roel van Hemert</v>
      </c>
      <c r="AF62" s="22"/>
      <c r="AG62" s="22">
        <f ca="1"/>
        <v>0</v>
      </c>
      <c r="AH62" s="22"/>
      <c r="AI62" s="22" t="str">
        <f ca="1"/>
        <v>Strontrapers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Wouw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>
        <f ca="1"/>
        <v>0</v>
      </c>
      <c r="H63" s="22"/>
      <c r="I63" s="22" t="str">
        <f ca="1"/>
        <v>Maurick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Stinsel</v>
      </c>
      <c r="P63" s="22"/>
      <c r="Q63" s="22" t="str">
        <f ca="1"/>
        <v>Van Geel</v>
      </c>
      <c r="R63" s="22"/>
      <c r="S63" s="22">
        <f ca="1"/>
        <v>0</v>
      </c>
      <c r="T63" s="22"/>
      <c r="U63" s="22">
        <f ca="1"/>
        <v>0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Simon Tahamata</v>
      </c>
      <c r="AF63" s="22"/>
      <c r="AG63" s="22">
        <f ca="1"/>
        <v>0</v>
      </c>
      <c r="AH63" s="22"/>
      <c r="AI63" s="22" t="str">
        <f ca="1"/>
        <v>Worstenbroodje (WB)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>
        <f ca="1"/>
        <v>0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Pand P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Strontrapers</v>
      </c>
      <c r="P64" s="22"/>
      <c r="Q64" s="22" t="str">
        <f ca="1"/>
        <v>Wim van Est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Van Geel</v>
      </c>
      <c r="AF64" s="22"/>
      <c r="AG64" s="22">
        <f ca="1"/>
        <v>0</v>
      </c>
      <c r="AH64" s="22"/>
      <c r="AI64" s="22">
        <f ca="1"/>
        <v>0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Ripasso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Van Roessel</v>
      </c>
      <c r="P65" s="22"/>
      <c r="Q65" s="22">
        <f ca="1"/>
        <v>0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Van Roessel</v>
      </c>
      <c r="AF65" s="22"/>
      <c r="AG65" s="22">
        <f ca="1"/>
        <v>0</v>
      </c>
      <c r="AH65" s="22"/>
      <c r="AI65" s="22">
        <f ca="1"/>
        <v>0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Schrobbelèr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Venkraai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Wim van Est</v>
      </c>
      <c r="AF66" s="22"/>
      <c r="AG66" s="22">
        <f ca="1"/>
        <v>0</v>
      </c>
      <c r="AH66" s="22"/>
      <c r="AI66" s="22">
        <f ca="1"/>
        <v>0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Sint Joris</v>
      </c>
      <c r="J67" s="22"/>
      <c r="K67" s="22">
        <f ca="1"/>
        <v>0</v>
      </c>
      <c r="L67" s="22"/>
      <c r="M67" s="22">
        <f ca="1"/>
        <v>0</v>
      </c>
      <c r="N67" s="22"/>
      <c r="O67" s="22">
        <f ca="1"/>
        <v>0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>
        <f ca="1"/>
        <v>0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Van Roessel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>
        <f ca="1"/>
        <v>0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Venkraai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Worstenbroodje (WB)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7ende Hemel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>
        <f ca="1"/>
        <v>0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>
        <f ca="1"/>
        <v>0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>
        <f ca="1"/>
        <v>0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>
        <f ca="1"/>
        <v>0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D18" sqref="D18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Borstbeeld Asselbergs (BA)</v>
      </c>
    </row>
    <row r="5" spans="1:4" x14ac:dyDescent="0.25">
      <c r="A5" t="str">
        <f ca="1"/>
        <v>Liessel</v>
      </c>
      <c r="D5" t="str">
        <f ca="1"/>
        <v>Bouvigne</v>
      </c>
    </row>
    <row r="6" spans="1:4" x14ac:dyDescent="0.25">
      <c r="A6" t="str">
        <f ca="1"/>
        <v>Nuenen</v>
      </c>
      <c r="D6" t="str">
        <f ca="1"/>
        <v>De Blauwe Camer</v>
      </c>
    </row>
    <row r="7" spans="1:4" x14ac:dyDescent="0.25">
      <c r="A7" t="str">
        <f ca="1"/>
        <v>Paaspop</v>
      </c>
      <c r="D7" t="str">
        <f ca="1"/>
        <v>De Koepel</v>
      </c>
    </row>
    <row r="8" spans="1:4" x14ac:dyDescent="0.25">
      <c r="A8" t="str">
        <f ca="1"/>
        <v>Pand P</v>
      </c>
      <c r="D8" t="str">
        <f ca="1"/>
        <v>De Korenbloem</v>
      </c>
    </row>
    <row r="9" spans="1:4" x14ac:dyDescent="0.25">
      <c r="A9" t="str">
        <f ca="1"/>
        <v>Paperclip</v>
      </c>
      <c r="D9" t="str">
        <f ca="1"/>
        <v>De Laat</v>
      </c>
    </row>
    <row r="10" spans="1:4" x14ac:dyDescent="0.25">
      <c r="A10" t="str">
        <f ca="1"/>
        <v>Sint Anthonis</v>
      </c>
      <c r="D10" t="str">
        <f ca="1"/>
        <v>De 2 Gebroeders</v>
      </c>
    </row>
    <row r="11" spans="1:4" x14ac:dyDescent="0.25">
      <c r="A11" t="str">
        <f ca="1"/>
        <v>Sint Joris</v>
      </c>
      <c r="D11" t="str">
        <f ca="1"/>
        <v>De Zwaan 1623</v>
      </c>
    </row>
    <row r="12" spans="1:4" x14ac:dyDescent="0.25">
      <c r="A12" t="str">
        <f ca="1"/>
        <v>Snuifscheppers (SFS)</v>
      </c>
      <c r="D12" t="str">
        <f ca="1"/>
        <v>Drakenfontein</v>
      </c>
    </row>
    <row r="13" spans="1:4" x14ac:dyDescent="0.25">
      <c r="A13" t="str">
        <f ca="1"/>
        <v>Strontrapers</v>
      </c>
      <c r="D13" t="str">
        <f ca="1"/>
        <v>Evoluon</v>
      </c>
    </row>
    <row r="14" spans="1:4" x14ac:dyDescent="0.25">
      <c r="A14" t="str">
        <f ca="1"/>
        <v>Wouw</v>
      </c>
      <c r="D14" t="str">
        <f ca="1"/>
        <v>Frits Philips</v>
      </c>
    </row>
    <row r="15" spans="1:4" x14ac:dyDescent="0.25">
      <c r="A15">
        <f ca="1"/>
        <v>0</v>
      </c>
      <c r="D15" t="str">
        <f ca="1"/>
        <v>Heeswijk</v>
      </c>
    </row>
    <row r="16" spans="1:4" x14ac:dyDescent="0.25">
      <c r="A16">
        <f ca="1"/>
        <v>0</v>
      </c>
      <c r="D16" t="str">
        <f ca="1"/>
        <v>Helmond</v>
      </c>
    </row>
    <row r="17" spans="1:4" x14ac:dyDescent="0.25">
      <c r="A17">
        <f ca="1"/>
        <v>0</v>
      </c>
      <c r="D17" t="str">
        <f ca="1"/>
        <v>Kampina</v>
      </c>
    </row>
    <row r="18" spans="1:4" x14ac:dyDescent="0.25">
      <c r="A18">
        <f ca="1"/>
        <v>0</v>
      </c>
      <c r="D18" t="str">
        <f ca="1"/>
        <v>KVL</v>
      </c>
    </row>
    <row r="19" spans="1:4" x14ac:dyDescent="0.25">
      <c r="A19">
        <f ca="1"/>
        <v>0</v>
      </c>
      <c r="D19" t="str">
        <f ca="1"/>
        <v>Maurick</v>
      </c>
    </row>
    <row r="20" spans="1:4" x14ac:dyDescent="0.25">
      <c r="A20">
        <f ca="1"/>
        <v>0</v>
      </c>
      <c r="D20" t="str">
        <f ca="1"/>
        <v>Nemerlaer</v>
      </c>
    </row>
    <row r="21" spans="1:4" x14ac:dyDescent="0.25">
      <c r="A21">
        <f ca="1"/>
        <v>0</v>
      </c>
      <c r="D21" t="str">
        <f ca="1"/>
        <v>Sint Jan</v>
      </c>
    </row>
    <row r="22" spans="1:4" x14ac:dyDescent="0.25">
      <c r="A22">
        <f ca="1"/>
        <v>0</v>
      </c>
      <c r="D22" t="str">
        <f ca="1"/>
        <v>Sint Joris</v>
      </c>
    </row>
    <row r="23" spans="1:4" x14ac:dyDescent="0.25">
      <c r="A23">
        <f ca="1"/>
        <v>0</v>
      </c>
      <c r="D23" t="str">
        <f ca="1"/>
        <v>Van Roessel</v>
      </c>
    </row>
    <row r="24" spans="1:4" x14ac:dyDescent="0.25">
      <c r="A24">
        <f ca="1"/>
        <v>0</v>
      </c>
      <c r="D24" t="str">
        <f ca="1"/>
        <v>Wim van Est</v>
      </c>
    </row>
    <row r="25" spans="1:4" x14ac:dyDescent="0.25">
      <c r="A25">
        <f ca="1"/>
        <v>0</v>
      </c>
      <c r="D25" t="str">
        <f ca="1"/>
        <v>Witte Dame</v>
      </c>
    </row>
    <row r="26" spans="1:4" x14ac:dyDescent="0.25">
      <c r="A26">
        <f ca="1"/>
        <v>0</v>
      </c>
      <c r="D26" t="str">
        <f ca="1"/>
        <v>Zittend Meisje</v>
      </c>
    </row>
    <row r="27" spans="1:4" x14ac:dyDescent="0.25">
      <c r="A27">
        <f ca="1"/>
        <v>0</v>
      </c>
      <c r="D27">
        <f ca="1"/>
        <v>0</v>
      </c>
    </row>
    <row r="28" spans="1:4" x14ac:dyDescent="0.25">
      <c r="A28">
        <f ca="1"/>
        <v>0</v>
      </c>
      <c r="D28">
        <f ca="1"/>
        <v>0</v>
      </c>
    </row>
    <row r="29" spans="1:4" x14ac:dyDescent="0.25">
      <c r="A29">
        <f ca="1"/>
        <v>0</v>
      </c>
      <c r="D29">
        <f ca="1"/>
        <v>0</v>
      </c>
    </row>
    <row r="30" spans="1:4" x14ac:dyDescent="0.25">
      <c r="A30">
        <f ca="1"/>
        <v>0</v>
      </c>
      <c r="D30">
        <f ca="1"/>
        <v>0</v>
      </c>
    </row>
    <row r="31" spans="1:4" x14ac:dyDescent="0.25">
      <c r="A31">
        <f ca="1"/>
        <v>0</v>
      </c>
      <c r="D31">
        <f ca="1"/>
        <v>0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3" sqref="C3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5</v>
      </c>
      <c r="C2">
        <v>6</v>
      </c>
    </row>
    <row r="4" spans="1:3" x14ac:dyDescent="0.25">
      <c r="A4" t="str" cm="1">
        <f t="array" ref="A4">INDEX(Antwoorden!$M$2:$T$133,'Per antwoord'!A2,1)</f>
        <v>Buurtschap</v>
      </c>
      <c r="C4" t="str" cm="1">
        <f t="array" ref="C4">INDEX(Antwoorden!$M$2:$T$133,'Per antwoord'!C2,1)</f>
        <v>Met 4 Wieken</v>
      </c>
    </row>
    <row r="5" spans="1:3" x14ac:dyDescent="0.25">
      <c r="A5" t="str" cm="1">
        <f t="array" ref="A5">INDEX(Antwoorden!$M$2:$T$133,'Per antwoord'!A2,2)</f>
        <v>Dierlijk</v>
      </c>
      <c r="C5" t="str" cm="1">
        <f t="array" ref="C5">INDEX(Antwoorden!$M$2:$T$133,'Per antwoord'!C2,2)</f>
        <v>(stand)beeld / (Rijks)monument</v>
      </c>
    </row>
    <row r="6" spans="1:3" x14ac:dyDescent="0.25">
      <c r="A6" t="str" cm="1">
        <f t="array" ref="A6">INDEX(Antwoorden!$M$2:$T$133,'Per antwoord'!A2,3)</f>
        <v>Eten en Drinken (ED)</v>
      </c>
      <c r="C6" t="str" cm="1">
        <f t="array" ref="C6">INDEX(Antwoorden!$M$2:$T$133,'Per antwoord'!C2,3)</f>
        <v>Met dubbel s</v>
      </c>
    </row>
    <row r="7" spans="1:3" x14ac:dyDescent="0.25">
      <c r="A7" t="str" cm="1">
        <f t="array" ref="A7">INDEX(Antwoorden!$M$2:$T$133,'Per antwoord'!A2,4)</f>
        <v/>
      </c>
      <c r="C7" t="str" cm="1">
        <f t="array" ref="C7">INDEX(Antwoorden!$M$2:$T$133,'Per antwoord'!C2,4)</f>
        <v>Kasteel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/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2020-12-28T16:05:18Z</cp:lastPrinted>
  <dcterms:created xsi:type="dcterms:W3CDTF">2020-12-25T16:21:58Z</dcterms:created>
  <dcterms:modified xsi:type="dcterms:W3CDTF">2020-12-28T17:30:45Z</dcterms:modified>
</cp:coreProperties>
</file>