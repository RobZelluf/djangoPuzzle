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128C6544-AC99-454B-87D8-60547D9D80C7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15" i="3" l="1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D3" i="10" a="1"/>
  <c r="A3" i="10" a="1"/>
  <c r="A51" i="6" a="1"/>
  <c r="AM3" i="6" a="1"/>
  <c r="U3" i="6" a="1"/>
  <c r="AC51" i="6" a="1"/>
  <c r="AI51" i="6" a="1"/>
  <c r="G3" i="6" a="1"/>
  <c r="AA51" i="6" a="1"/>
  <c r="M51" i="6" a="1"/>
  <c r="E3" i="6" a="1"/>
  <c r="AE51" i="6" a="1"/>
  <c r="I51" i="6" a="1"/>
  <c r="Y3" i="6" a="1"/>
  <c r="S51" i="6" a="1"/>
  <c r="O51" i="6" a="1"/>
  <c r="G51" i="6" a="1"/>
  <c r="K51" i="6" a="1"/>
  <c r="AO51" i="6" a="1"/>
  <c r="AI3" i="6" a="1"/>
  <c r="AG3" i="6" a="1"/>
  <c r="S3" i="6" a="1"/>
  <c r="W3" i="6" a="1"/>
  <c r="AA3" i="6" a="1"/>
  <c r="K3" i="6" a="1"/>
  <c r="AG51" i="6" a="1"/>
  <c r="W51" i="6" a="1"/>
  <c r="U51" i="6" a="1"/>
  <c r="E51" i="6" a="1"/>
  <c r="AC3" i="6" a="1"/>
  <c r="AE3" i="6" a="1"/>
  <c r="AM51" i="6" a="1"/>
  <c r="AQ3" i="6" a="1"/>
  <c r="AO3" i="6" a="1"/>
  <c r="M3" i="6" a="1"/>
  <c r="O3" i="6" a="1"/>
  <c r="AK51" i="6" a="1"/>
  <c r="I3" i="6" a="1"/>
  <c r="Q3" i="6" a="1"/>
  <c r="C51" i="6" a="1"/>
  <c r="AK3" i="6" a="1"/>
  <c r="Y51" i="6" a="1"/>
  <c r="Q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A3" i="6" a="1"/>
  <c r="C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<sst xmlns="http://schemas.openxmlformats.org/spreadsheetml/2006/main" count="446" uniqueCount="234">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</sst>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6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r>
            <a:rPr lang="nl-NL"/>
            <a:t>De Laat</a:t>
          </a:r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37" zoomScale="70" zoomScaleNormal="70" workbookViewId="0">
      <selection activeCell="AG16" sqref="AG16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9" workbookViewId="0">
      <selection activeCell="E36" sqref="E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14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12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9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10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21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7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49" zoomScale="85" zoomScaleNormal="85" workbookViewId="0">
      <selection activeCell="I50" sqref="I5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/>
      <c r="F12" s="12"/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/>
      </c>
      <c r="P12" s="12" t="str">
        <f>IFERROR(VLOOKUP(F12,categorieen!$D:$E,2,FALSE),"")</f>
        <v/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/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/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/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/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/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/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/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/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/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/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/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/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/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/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/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11" t="s">
        <v>174</v>
      </c>
      <c r="B129" s="12"/>
      <c r="C129" s="11">
        <v>2</v>
      </c>
      <c r="D129" s="11">
        <v>13</v>
      </c>
      <c r="E129" s="12"/>
      <c r="F129" s="12"/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/>
      </c>
      <c r="P129" s="12" t="str">
        <f>IFERROR(VLOOKUP(F129,categorieen!$D:$E,2,FALSE),"")</f>
        <v/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U40" workbookViewId="0">
      <selection activeCell="AK57" sqref="AK57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38</v>
      </c>
      <c r="C1" s="21">
        <v>17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Sport</v>
      </c>
      <c r="C2" s="21" t="str">
        <f>VLOOKUP(C1,categorieen!$A:$B,2,FALSE)</f>
        <v>Met dubbel 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Biestse Boulers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Bergen op Zoom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Borghs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Bergsche Maas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Elastiek</v>
      </c>
      <c r="AN4" s="22"/>
      <c r="AO4" s="22" t="str">
        <f ca="1"/>
        <v>Chassé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Bram Braam</v>
      </c>
      <c r="B5" s="22"/>
      <c r="C5" s="22" t="str">
        <f ca="1"/>
        <v>Chassé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Binnen Dieze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Glow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Bud Brocken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Borghs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Halve Zolen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Donders</v>
      </c>
      <c r="B7" s="22"/>
      <c r="C7" s="22" t="str">
        <f ca="1"/>
        <v>Frits Spits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Cartierheide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Intents</v>
      </c>
      <c r="AN7" s="22"/>
      <c r="AO7" s="22" t="str">
        <f ca="1"/>
        <v>De Koepel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Ihattaren</v>
      </c>
      <c r="B8" s="22"/>
      <c r="C8" s="22" t="str">
        <f ca="1"/>
        <v>Liessel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De Eeendracht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KVL</v>
      </c>
      <c r="AN8" s="22"/>
      <c r="AO8" s="22" t="str">
        <f ca="1"/>
        <v>De Paarse Heide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Joris Mathijsen (JM)</v>
      </c>
      <c r="B9" s="22"/>
      <c r="C9" s="22" t="str">
        <f ca="1"/>
        <v>Oss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Drakenfontein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Paaspop</v>
      </c>
      <c r="AN9" s="22"/>
      <c r="AO9" s="22" t="str">
        <f ca="1"/>
        <v>De Pelikaan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Michael van Gerwen</v>
      </c>
      <c r="B10" s="22"/>
      <c r="C10" s="22" t="str">
        <f ca="1"/>
        <v>Piet de Visser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Ijzeren man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Paperclip</v>
      </c>
      <c r="AN10" s="22"/>
      <c r="AO10" s="22" t="str">
        <f ca="1"/>
        <v>De 2 Gebroeders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NAC</v>
      </c>
      <c r="B11" s="22"/>
      <c r="C11" s="22" t="str">
        <f ca="1"/>
        <v>Ripasso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Moerputten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Roze Maandag</v>
      </c>
      <c r="AN11" s="22"/>
      <c r="AO11" s="22" t="str">
        <f ca="1"/>
        <v>Heimolen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Nooit Gedacht</v>
      </c>
      <c r="B12" s="22"/>
      <c r="C12" s="22" t="str">
        <f ca="1"/>
        <v>Van Roessel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Oosterplas</v>
      </c>
      <c r="X12" s="22"/>
      <c r="Y12" s="22">
        <f ca="1"/>
        <v>0</v>
      </c>
      <c r="Z12" s="22"/>
      <c r="AA12" s="22">
        <f ca="1"/>
        <v>0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Wilhelminapark (WP)</v>
      </c>
      <c r="AN12" s="22"/>
      <c r="AO12" s="22" t="str">
        <f ca="1"/>
        <v>Lies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Piet de Visser</v>
      </c>
      <c r="B13" s="22"/>
      <c r="C13" s="22">
        <f ca="1"/>
        <v>0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t Blauwe Meer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>
        <f ca="1"/>
        <v>0</v>
      </c>
      <c r="AN13" s="22"/>
      <c r="AO13" s="22" t="str">
        <f ca="1"/>
        <v>Nieuw Vossemeer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Roel van Hemert</v>
      </c>
      <c r="B14" s="22"/>
      <c r="C14" s="22">
        <f ca="1"/>
        <v>0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 t="str">
        <f ca="1"/>
        <v>t Zand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Noordhoek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Simon Tahamata</v>
      </c>
      <c r="B15" s="22"/>
      <c r="C15" s="22">
        <f ca="1"/>
        <v>0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Ria Valk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>
        <f ca="1"/>
        <v>0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Van Geel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Snuifscheppers (SFS)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>
        <f ca="1"/>
        <v>0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Van Roessel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>
        <f ca="1"/>
        <v>0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 t="str">
        <f ca="1"/>
        <v>Wim van Est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>
        <f ca="1"/>
        <v>0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De Pelikaan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Halve Zolen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Vrijthof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Drakenfontein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Houdoe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(plein) 1969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KVL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Blauwe Camer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Kruikezeiker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Sint Joris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Nieuw Vossemeer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Papgat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t Kruiken(plein)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Oss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Papzakken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>
        <f ca="1"/>
        <v>0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Piet de Visser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Ploegersland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>
        <f ca="1"/>
        <v>0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Ria Valk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Rooi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Venkraai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In 't Groene Woud (GW)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Sint Juttemis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Worstenbroodje (WB)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Lieve Lente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Snuifscheppers (SFS)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Wouw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Maurick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Stinsel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>
        <f ca="1"/>
        <v>0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Pand P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Strontrapers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Ripasso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Van Roessel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Schrobbelèr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Sint Joris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Van Roessel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Venkraai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Worstenbroodje (WB)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7ende Hemel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>
        <f ca="1"/>
        <v>0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>
        <f ca="1"/>
        <v>0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3" sqref="C3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</v>
      </c>
      <c r="C2">
        <v>6</v>
      </c>
    </row>
    <row r="4" spans="1:3" x14ac:dyDescent="0.25">
      <c r="A4" t="str" cm="1">
        <f t="array" ref="A4">INDEX(Antwoorden!$M$2:$T$133,'Per antwoord'!A2,1)</f>
        <v>Buurtschap</v>
      </c>
      <c r="C4" t="str" cm="1">
        <f t="array" ref="C4">INDEX(Antwoorden!$M$2:$T$133,'Per antwoord'!C2,1)</f>
        <v>Met 4 Wieken</v>
      </c>
    </row>
    <row r="5" spans="1:3" x14ac:dyDescent="0.25">
      <c r="A5" t="str" cm="1">
        <f t="array" ref="A5">INDEX(Antwoorden!$M$2:$T$133,'Per antwoord'!A2,2)</f>
        <v>Dierlijk</v>
      </c>
      <c r="C5" t="str" cm="1">
        <f t="array" ref="C5">INDEX(Antwoorden!$M$2:$T$133,'Per antwoord'!C2,2)</f>
        <v>(stand)beeld / (Rijks)monument</v>
      </c>
    </row>
    <row r="6" spans="1:3" x14ac:dyDescent="0.25">
      <c r="A6" t="str" cm="1">
        <f t="array" ref="A6">INDEX(Antwoorden!$M$2:$T$133,'Per antwoord'!A2,3)</f>
        <v>Eten en Drinken (ED)</v>
      </c>
      <c r="C6" t="str" cm="1">
        <f t="array" ref="C6">INDEX(Antwoorden!$M$2:$T$133,'Per antwoord'!C2,3)</f>
        <v>Met dubbel s</v>
      </c>
    </row>
    <row r="7" spans="1:3" x14ac:dyDescent="0.25">
      <c r="A7" t="str" cm="1">
        <f t="array" ref="A7">INDEX(Antwoorden!$M$2:$T$133,'Per antwoord'!A2,4)</f>
        <v/>
      </c>
      <c r="C7" t="str" cm="1">
        <f t="array" ref="C7">INDEX(Antwoorden!$M$2:$T$133,'Per antwoord'!C2,4)</f>
        <v>Kasteel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/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2020-12-28T22:53:25Z</dcterms:modified>
</cp:coreProperties>
</file>