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CF5C4FBC-4695-49C9-BAEA-8C7476A95D1D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<sst xmlns="http://schemas.openxmlformats.org/spreadsheetml/2006/main" count="447" uniqueCount="236">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</sst>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24" val="23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D18" sqref="D18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16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19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00" zoomScale="85" zoomScaleNormal="85" workbookViewId="0">
      <selection activeCell="H111" sqref="H111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s Hertogenbosch (DB)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Getal/Cijfer</v>
      </c>
      <c r="O33" s="12" t="str">
        <f>IFERROR(VLOOKUP(E33,categorieen!$D:$E,2,FALSE),"")</f>
        <v>Zes letters</v>
      </c>
      <c r="P33" s="12" t="str">
        <f>IFERROR(VLOOKUP(F33,categorieen!$D:$E,2,FALSE),"")</f>
        <v/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>
        <v>42</v>
      </c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>7 letters</v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>Hilvarenbeek</v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>Begint met een W</v>
      </c>
      <c r="R129" s="12" t="str">
        <f>IFERROR(VLOOKUP(H129,categorieen!$D:$E,2,FALSE),"")</f>
        <v>In de volksmond (IDV)</v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S3" sqref="S3:S10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29</v>
      </c>
      <c r="C1" s="21">
        <v>34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Hilvarenbeek</v>
      </c>
      <c r="C2" s="21" t="str">
        <f>VLOOKUP(C1,categorieen!$A:$B,2,FALSE)</f>
        <v>Met 4 Wieken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Beekse Bergen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Bierbrouwerij de Roos (BdR)</v>
      </c>
      <c r="B4" s="22"/>
      <c r="C4" s="22" t="str">
        <f ca="1"/>
        <v>De Eeendracht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Biestse Boulers</v>
      </c>
      <c r="B5" s="22"/>
      <c r="C5" s="22" t="str">
        <f ca="1"/>
        <v>De Korenbloem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Borstbeeld Asselbergs (BA)</v>
      </c>
      <c r="B6" s="22"/>
      <c r="C6" s="22" t="str">
        <f ca="1"/>
        <v>De Leest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De Pelikaan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Pelikaan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Diessen</v>
      </c>
      <c r="B8" s="22"/>
      <c r="C8" s="22" t="str">
        <f ca="1"/>
        <v>De 2 Gebroeders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2 Gebroeders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Elastiek</v>
      </c>
      <c r="B9" s="22"/>
      <c r="C9" s="22" t="str">
        <f ca="1"/>
        <v>De Zotte Mulders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Heimolen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Gorp en Roovert</v>
      </c>
      <c r="B10" s="22"/>
      <c r="C10" s="22" t="str">
        <f ca="1"/>
        <v>De Zwaan 1623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Lies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Roel van Hemert</v>
      </c>
      <c r="B11" s="22"/>
      <c r="C11" s="22" t="str">
        <f ca="1"/>
        <v>Heimolen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Nieuw Vossemeer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Joris</v>
      </c>
      <c r="B12" s="22"/>
      <c r="C12" s="22" t="str">
        <f ca="1"/>
        <v>Nooit Gedacht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Noordhoek</v>
      </c>
      <c r="AP12" s="22"/>
      <c r="AQ12" s="22" t="str">
        <f ca="1"/>
        <v>De Brand (herberg)</v>
      </c>
      <c r="AR12" s="22"/>
    </row>
    <row r="13" spans="1:44" x14ac:dyDescent="0.25">
      <c r="A13" s="22">
        <f ca="1"/>
        <v>0</v>
      </c>
      <c r="B13" s="22"/>
      <c r="C13" s="22" t="str">
        <f ca="1"/>
        <v>Sint Agatha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Papzakken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Sint Anthonis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Ripasso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Sint Jan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St. Willebrord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>
        <f ca="1"/>
        <v>0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t Zand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Wilhelminapark (WP)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Wouw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Nuenen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Ria Valk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Ripasso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Sint Jan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Witte Dame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Stinsel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Van Geel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 t="str">
        <f ca="1"/>
        <v>Vestzak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t Kruiken(plein)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24</v>
      </c>
      <c r="C2">
        <v>40</v>
      </c>
    </row>
    <row r="4" spans="1:3" x14ac:dyDescent="0.25">
      <c r="A4" t="str" cm="1">
        <f t="array" ref="A4">INDEX(Antwoorden!$M$2:$T$133,'Per antwoord'!A2,1)</f>
        <v>Kasteel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Begint met een B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Natuur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076 (Breda)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>(stand)beeld / (Rijks)monument</v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>Eten en Drinken (ED)</v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2021-01-01T15:37:12Z</dcterms:modified>
</cp:coreProperties>
</file>