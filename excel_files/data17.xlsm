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FE693569-22A4-416E-848D-DB49DB5C3642}" xr6:coauthVersionLast="45" xr6:coauthVersionMax="45" xr10:uidLastSave="{00000000-0000-0000-0000-000000000000}"/>
  <bookViews>
    <workbookView xWindow="285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9" i="3" l="1"/>
  <c r="P129" i="3"/>
  <c r="O115" i="3"/>
  <c r="P114" i="3"/>
  <c r="O114" i="3"/>
  <c r="N114" i="3"/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A51" i="6" a="1"/>
  <c r="AI51" i="6" a="1"/>
  <c r="E3" i="6" a="1"/>
  <c r="S51" i="6" a="1"/>
  <c r="AO51" i="6" a="1"/>
  <c r="W3" i="6" a="1"/>
  <c r="W51" i="6" a="1"/>
  <c r="AE3" i="6" a="1"/>
  <c r="M3" i="6" a="1"/>
  <c r="Q3" i="6" a="1"/>
  <c r="Q51" i="6" a="1"/>
  <c r="AA3" i="6" a="1"/>
  <c r="AM51" i="6" a="1"/>
  <c r="C51" i="6" a="1"/>
  <c r="Y3" i="6" a="1"/>
  <c r="AG51" i="6" a="1"/>
  <c r="I3" i="6" a="1"/>
  <c r="AM3" i="6" a="1"/>
  <c r="G3" i="6" a="1"/>
  <c r="AE51" i="6" a="1"/>
  <c r="O51" i="6" a="1"/>
  <c r="AI3" i="6" a="1"/>
  <c r="U51" i="6" a="1"/>
  <c r="O3" i="6" a="1"/>
  <c r="M51" i="6" a="1"/>
  <c r="S3" i="6" a="1"/>
  <c r="AO3" i="6" a="1"/>
  <c r="D3" i="10" a="1"/>
  <c r="U3" i="6" a="1"/>
  <c r="AA51" i="6" a="1"/>
  <c r="I51" i="6" a="1"/>
  <c r="G51" i="6" a="1"/>
  <c r="AG3" i="6" a="1"/>
  <c r="K3" i="6" a="1"/>
  <c r="E51" i="6" a="1"/>
  <c r="AQ3" i="6" a="1"/>
  <c r="AK51" i="6" a="1"/>
  <c r="AK3" i="6" a="1"/>
  <c r="AC51" i="6" a="1"/>
  <c r="K51" i="6" a="1"/>
  <c r="AC3" i="6" a="1"/>
  <c r="Y51" i="6" a="1"/>
  <c r="A3" i="10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C3" i="6" a="1"/>
  <c r="A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N115" i="3"/>
  <c r="M115" i="3"/>
  <c r="T114" i="3"/>
  <c r="S114" i="3"/>
  <c r="R114" i="3"/>
  <c r="Q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BasZelluf</author>
  </authors>
  <commentList>
    <comment ref="A23" authorId="0" shapeId="0" xr:uid="{5820D410-B024-449A-8A1C-DDA043E604EF}">
      <text>
        <r>
          <rPr>
            <b/>
            <sz val="9"/>
            <color indexed="81"/>
            <rFont val="Tahoma"/>
            <charset val="1"/>
          </rPr>
          <t>BasZelluf:</t>
        </r>
        <r>
          <rPr>
            <sz val="9"/>
            <color indexed="81"/>
            <rFont val="Tahoma"/>
            <charset val="1"/>
          </rPr>
          <t xml:space="preserve">
https://www.google.nl/maps/place/Vrijthof/@51.485195,5.1352389,3a,75y,90t/data=!3m8!1e2!3m6!1sAF1QipM10YNDI0C8t215QQ8ZcKR-2yprZzMP9E1QB4b7!2e10!3e12!6shttps:%2F%2Flh5.googleusercontent.com%2Fp%2FAF1QipM10YNDI0C8t215QQ8ZcKR-2yprZzMP9E1QB4b7%3Dw203-h270-k-no!7i3024!8i4032!4m8!1m2!2m1!1shilvarenbeek+buste+anton+duinkerken!3m4!1s0x47c6c753622b67c5:0x7c7b6d5d62bc122!8m2!3d51.4852597!4d5.1355579?hl=n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<sst xmlns="http://schemas.openxmlformats.org/spreadsheetml/2006/main" count="448" uniqueCount="236">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</sst>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r>
            <a:rPr lang="nl-NL"/>
            <a:t>De Laat</a:t>
          </a:r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34" zoomScale="70" zoomScaleNormal="70" workbookViewId="0">
      <selection activeCell="I16" sqref="I16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J5" sqref="J5:N17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15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13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14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11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11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11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13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43" zoomScale="85" zoomScaleNormal="85" workbookViewId="0">
      <selection activeCell="B62" sqref="B62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>
        <v>21</v>
      </c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>West Brabant</v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>
        <v>36</v>
      </c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>Plein</v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/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/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/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/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/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/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/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/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/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/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/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/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/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/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/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/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/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/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/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/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/>
      <c r="F103" s="12"/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/>
      </c>
      <c r="P103" s="12" t="str">
        <f>IFERROR(VLOOKUP(F103,categorieen!$D:$E,2,FALSE),"")</f>
        <v/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/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/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Q18" sqref="Q18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Borstbeeld Asselbergs (BA)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Bouvigne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De Blauwe Camer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Koepel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Korenbloem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Gorp en Roovert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Laat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Heeswijk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2 Gebroeders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Roze Maandag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Helmond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Zwaan 1623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Schrobbelèr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Maurick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Snuifscheppers (SFS)</v>
      </c>
      <c r="B12" s="22"/>
      <c r="C12" s="22" t="str">
        <f ca="1"/>
        <v>Drakenfontein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t Kruiken(plein)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 t="str">
        <f ca="1"/>
        <v>Nemerlaer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Strontrapers</v>
      </c>
      <c r="B13" s="22"/>
      <c r="C13" s="22" t="str">
        <f ca="1"/>
        <v>Evoluon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Vijfhuizen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Wouw</v>
      </c>
      <c r="B14" s="22"/>
      <c r="C14" s="22" t="str">
        <f ca="1"/>
        <v>Frits Philips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Westpoint</v>
      </c>
      <c r="V14" s="22"/>
      <c r="W14" s="22" t="str">
        <f ca="1"/>
        <v>Oosterplas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Heeswijk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Ria Valk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Wilhelminapark (WP)</v>
      </c>
      <c r="V15" s="22"/>
      <c r="W15" s="22" t="str">
        <f ca="1"/>
        <v>t Blauwe 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Helmond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Snuifscheppers (SFS)</v>
      </c>
      <c r="P16" s="22"/>
      <c r="Q16" s="22">
        <f ca="1"/>
        <v>0</v>
      </c>
      <c r="R16" s="22"/>
      <c r="S16" s="22">
        <f ca="1"/>
        <v>0</v>
      </c>
      <c r="T16" s="22"/>
      <c r="U16" s="22">
        <f ca="1"/>
        <v>0</v>
      </c>
      <c r="V16" s="22"/>
      <c r="W16" s="22" t="str">
        <f ca="1"/>
        <v>t Zand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Kampina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Witte Dame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>
        <f ca="1"/>
        <v>0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KVL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>
        <f ca="1"/>
        <v>0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>
        <f ca="1"/>
        <v>0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Maurick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Nemerlaer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Sint Jan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Sint Joris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Van Roessel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Wim van Est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Witte Dame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Zittend Meisje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De Vrijthof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Elastiek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Petrus en Paulus (PP)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(plein) 1969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>
        <f ca="1"/>
        <v>0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Joris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Sint Joris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Ploegersland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Juttemis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St. Willebrord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Schrobbelèr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Wilhelminapark (WP)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t Kruiken(plein)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Snuifscheppers (SFS)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>
        <f ca="1"/>
        <v>0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Strontrapers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Worstenbroodje (WB)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Wim van Est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>
        <f ca="1"/>
        <v>0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D18" sqref="D18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2020-12-29T11:09:26Z</dcterms:modified>
</cp:coreProperties>
</file>