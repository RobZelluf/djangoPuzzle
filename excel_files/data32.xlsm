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20E21444-22F0-4646-A35C-5DB4D8988B02}" xr6:coauthVersionLast="45" xr6:coauthVersionMax="45" xr10:uidLastSave="{00000000-0000-0000-0000-000000000000}"/>
  <bookViews>
    <workbookView xWindow="525" yWindow="465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P126" i="3"/>
  <c r="O126" i="3"/>
  <c r="N126" i="3"/>
  <c r="M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R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AK51" i="6" a="1"/>
  <c r="AO51" i="6" a="1"/>
  <c r="M51" i="6" a="1"/>
  <c r="AM51" i="6" a="1"/>
  <c r="A3" i="10" a="1"/>
  <c r="K51" i="6" a="1"/>
  <c r="AC3" i="6" a="1"/>
  <c r="E51" i="6" a="1"/>
  <c r="D3" i="10" a="1"/>
  <c r="U3" i="6" a="1"/>
  <c r="AG51" i="6" a="1"/>
  <c r="G51" i="6" a="1"/>
  <c r="AA51" i="6" a="1"/>
  <c r="AC51" i="6" a="1"/>
  <c r="S3" i="6" a="1"/>
  <c r="O51" i="6" a="1"/>
  <c r="I51" i="6" a="1"/>
  <c r="AI3" i="6" a="1"/>
  <c r="AG3" i="6" a="1"/>
  <c r="AM3" i="6" a="1"/>
  <c r="Y51" i="6" a="1"/>
  <c r="AA3" i="6" a="1"/>
  <c r="K3" i="6" a="1"/>
  <c r="AE3" i="6" a="1"/>
  <c r="E3" i="6" a="1"/>
  <c r="Y3" i="6" a="1"/>
  <c r="W3" i="6" a="1"/>
  <c r="AO3" i="6" a="1"/>
  <c r="Q51" i="6" a="1"/>
  <c r="AI51" i="6" a="1"/>
  <c r="W51" i="6" a="1"/>
  <c r="C51" i="6" a="1"/>
  <c r="G3" i="6" a="1"/>
  <c r="Q3" i="6" a="1"/>
  <c r="U51" i="6" a="1"/>
  <c r="A51" i="6" a="1"/>
  <c r="I3" i="6" a="1"/>
  <c r="AE51" i="6" a="1"/>
  <c r="AQ3" i="6" a="1"/>
  <c r="M3" i="6" a="1"/>
  <c r="S51" i="6" a="1"/>
  <c r="AK3" i="6" a="1"/>
  <c r="O3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3" i="6" a="1"/>
  <c r="A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<sst xmlns="http://schemas.openxmlformats.org/spreadsheetml/2006/main" count="448" uniqueCount="236">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</sst>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6" workbookViewId="0">
      <selection activeCell="J5" sqref="J5:N17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12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23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18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16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7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15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8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14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16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17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11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18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35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8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12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22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8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12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10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10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11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9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14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13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12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73" zoomScale="85" zoomScaleNormal="85" workbookViewId="0">
      <selection activeCell="O84" sqref="O84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 t="s">
        <v>201</v>
      </c>
      <c r="C7" s="12">
        <v>34</v>
      </c>
      <c r="D7" s="12">
        <v>2</v>
      </c>
      <c r="E7" s="12">
        <v>17</v>
      </c>
      <c r="F7" s="12">
        <v>14</v>
      </c>
      <c r="G7" s="12">
        <v>21</v>
      </c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Kasteel</v>
      </c>
      <c r="Q7" s="12" t="str">
        <f>IFERROR(VLOOKUP(G7,categorieen!$D:$E,2,FALSE),"")</f>
        <v>West Brabant</v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6</v>
      </c>
      <c r="D9" s="12">
        <v>40</v>
      </c>
      <c r="E9" s="12"/>
      <c r="F9" s="12"/>
      <c r="G9" s="12"/>
      <c r="H9" s="12"/>
      <c r="I9" s="12"/>
      <c r="J9" s="12"/>
      <c r="K9" s="12"/>
      <c r="L9" s="12"/>
      <c r="M9" s="12" t="str">
        <f>IFERROR(VLOOKUP(C9,categorieen!$D:$E,2,FALSE),"")</f>
        <v>Met B en B</v>
      </c>
      <c r="N9" s="12" t="str">
        <f>IFERROR(VLOOKUP(D9,categorieen!$D:$E,2,FALSE),"")</f>
        <v>Typisch Brabants (TB)</v>
      </c>
      <c r="O9" s="12" t="str">
        <f>IFERROR(VLOOKUP(E9,categorieen!$D:$E,2,FALSE),"")</f>
        <v/>
      </c>
      <c r="P9" s="12" t="str">
        <f>IFERROR(VLOOKUP(F9,categorieen!$D:$E,2,FALSE),"")</f>
        <v/>
      </c>
      <c r="Q9" s="12" t="str">
        <f>IFERROR(VLOOKUP(G9,categorieen!$D:$E,2,FALSE),"")</f>
        <v/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1</v>
      </c>
      <c r="D17" s="12">
        <v>40</v>
      </c>
      <c r="E17" s="12">
        <v>6</v>
      </c>
      <c r="F17" s="12"/>
      <c r="G17" s="12"/>
      <c r="H17" s="12"/>
      <c r="I17" s="12"/>
      <c r="J17" s="12"/>
      <c r="K17" s="12"/>
      <c r="L17" s="12"/>
      <c r="M17" s="12" t="str">
        <f>IFERROR(VLOOKUP(C17,categorieen!$D:$E,2,FALSE),"")</f>
        <v>Eerste- en Eindletter hetzelfde</v>
      </c>
      <c r="N17" s="12" t="str">
        <f>IFERROR(VLOOKUP(D17,categorieen!$D:$E,2,FALSE),"")</f>
        <v>Typisch Brabants (TB)</v>
      </c>
      <c r="O17" s="12" t="str">
        <f>IFERROR(VLOOKUP(E17,categorieen!$D:$E,2,FALSE),"")</f>
        <v>Met B en B</v>
      </c>
      <c r="P17" s="12" t="str">
        <f>IFERROR(VLOOKUP(F17,categorieen!$D:$E,2,FALSE),"")</f>
        <v/>
      </c>
      <c r="Q17" s="12" t="str">
        <f>IFERROR(VLOOKUP(G17,categorieen!$D:$E,2,FALSE),"")</f>
        <v/>
      </c>
      <c r="R17" s="12" t="str">
        <f>IFERROR(VLOOKUP(H17,categorieen!$D:$E,2,FALSE),"")</f>
        <v/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/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/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29</v>
      </c>
      <c r="D20" s="12">
        <v>3</v>
      </c>
      <c r="E20" s="12"/>
      <c r="F20" s="12"/>
      <c r="G20" s="12"/>
      <c r="H20" s="12"/>
      <c r="I20" s="12"/>
      <c r="J20" s="12"/>
      <c r="K20" s="12"/>
      <c r="L20" s="12"/>
      <c r="M20" s="12" t="str">
        <f>IFERROR(VLOOKUP(C20,categorieen!$D:$E,2,FALSE),"")</f>
        <v>Hilvarenbeek</v>
      </c>
      <c r="N20" s="12" t="str">
        <f>IFERROR(VLOOKUP(D20,categorieen!$D:$E,2,FALSE),"")</f>
        <v>Begint met een B</v>
      </c>
      <c r="O20" s="12" t="str">
        <f>IFERROR(VLOOKUP(E20,categorieen!$D:$E,2,FALSE),"")</f>
        <v/>
      </c>
      <c r="P20" s="12" t="str">
        <f>IFERROR(VLOOKUP(F20,categorieen!$D:$E,2,FALSE),"")</f>
        <v/>
      </c>
      <c r="Q20" s="12" t="str">
        <f>IFERROR(VLOOKUP(G20,categorieen!$D:$E,2,FALSE),"")</f>
        <v/>
      </c>
      <c r="R20" s="12" t="str">
        <f>IFERROR(VLOOKUP(H20,categorieen!$D:$E,2,FALSE),"")</f>
        <v/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>
        <v>11</v>
      </c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>Tilburg</v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19</v>
      </c>
      <c r="E24" s="12"/>
      <c r="F24" s="12"/>
      <c r="G24" s="12"/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Natuur</v>
      </c>
      <c r="O24" s="12" t="str">
        <f>IFERROR(VLOOKUP(E24,categorieen!$D:$E,2,FALSE),"")</f>
        <v/>
      </c>
      <c r="P24" s="12" t="str">
        <f>IFERROR(VLOOKUP(F24,categorieen!$D:$E,2,FALSE),"")</f>
        <v/>
      </c>
      <c r="Q24" s="12" t="str">
        <f>IFERROR(VLOOKUP(G24,categorieen!$D:$E,2,FALSE),"")</f>
        <v/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19</v>
      </c>
      <c r="D41" s="12">
        <v>40</v>
      </c>
      <c r="E41" s="12"/>
      <c r="F41" s="12"/>
      <c r="G41" s="12"/>
      <c r="H41" s="12"/>
      <c r="I41" s="12"/>
      <c r="J41" s="12"/>
      <c r="K41" s="12"/>
      <c r="L41" s="12"/>
      <c r="M41" s="12" t="str">
        <f>IFERROR(VLOOKUP(C41,categorieen!$D:$E,2,FALSE),"")</f>
        <v>Natuur</v>
      </c>
      <c r="N41" s="12" t="str">
        <f>IFERROR(VLOOKUP(D41,categorieen!$D:$E,2,FALSE),"")</f>
        <v>Typisch Brabants (TB)</v>
      </c>
      <c r="O41" s="12" t="str">
        <f>IFERROR(VLOOKUP(E41,categorieen!$D:$E,2,FALSE),"")</f>
        <v/>
      </c>
      <c r="P41" s="12" t="str">
        <f>IFERROR(VLOOKUP(F41,categorieen!$D:$E,2,FALSE),"")</f>
        <v/>
      </c>
      <c r="Q41" s="12" t="str">
        <f>IFERROR(VLOOKUP(G41,categorieen!$D:$E,2,FALSE),"")</f>
        <v/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5</v>
      </c>
      <c r="E44" s="12"/>
      <c r="F44" s="12"/>
      <c r="G44" s="12"/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Bekende Brabanders</v>
      </c>
      <c r="O44" s="12" t="str">
        <f>IFERROR(VLOOKUP(E44,categorieen!$D:$E,2,FALSE),"")</f>
        <v/>
      </c>
      <c r="P44" s="12" t="str">
        <f>IFERROR(VLOOKUP(F44,categorieen!$D:$E,2,FALSE),"")</f>
        <v/>
      </c>
      <c r="Q44" s="12" t="str">
        <f>IFERROR(VLOOKUP(G44,categorieen!$D:$E,2,FALSE),"")</f>
        <v/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7</v>
      </c>
      <c r="D45" s="12">
        <v>9</v>
      </c>
      <c r="E45" s="12"/>
      <c r="F45" s="12"/>
      <c r="G45" s="12"/>
      <c r="H45" s="12"/>
      <c r="I45" s="12"/>
      <c r="J45" s="12"/>
      <c r="K45" s="12"/>
      <c r="L45" s="12"/>
      <c r="M45" s="12" t="str">
        <f>IFERROR(VLOOKUP(C45,categorieen!$D:$E,2,FALSE),"")</f>
        <v>Alaaf</v>
      </c>
      <c r="N45" s="12" t="str">
        <f>IFERROR(VLOOKUP(D45,categorieen!$D:$E,2,FALSE),"")</f>
        <v>Kiosk</v>
      </c>
      <c r="O45" s="12" t="str">
        <f>IFERROR(VLOOKUP(E45,categorieen!$D:$E,2,FALSE),"")</f>
        <v/>
      </c>
      <c r="P45" s="12" t="str">
        <f>IFERROR(VLOOKUP(F45,categorieen!$D:$E,2,FALSE),"")</f>
        <v/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19</v>
      </c>
      <c r="D58" s="12">
        <v>29</v>
      </c>
      <c r="E58" s="12"/>
      <c r="F58" s="12"/>
      <c r="G58" s="12"/>
      <c r="H58" s="12"/>
      <c r="I58" s="12"/>
      <c r="J58" s="12"/>
      <c r="K58" s="12"/>
      <c r="L58" s="12"/>
      <c r="M58" s="12" t="str">
        <f>IFERROR(VLOOKUP(C58,categorieen!$D:$E,2,FALSE),"")</f>
        <v>Natuur</v>
      </c>
      <c r="N58" s="12" t="str">
        <f>IFERROR(VLOOKUP(D58,categorieen!$D:$E,2,FALSE),"")</f>
        <v>Hilvarenbeek</v>
      </c>
      <c r="O58" s="12" t="str">
        <f>IFERROR(VLOOKUP(E58,categorieen!$D:$E,2,FALSE),"")</f>
        <v/>
      </c>
      <c r="P58" s="12" t="str">
        <f>IFERROR(VLOOKUP(F58,categorieen!$D:$E,2,FALSE),"")</f>
        <v/>
      </c>
      <c r="Q58" s="12" t="str">
        <f>IFERROR(VLOOKUP(G58,categorieen!$D:$E,2,FALSE),"")</f>
        <v/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16</v>
      </c>
      <c r="E60" s="12"/>
      <c r="F60" s="12"/>
      <c r="G60" s="12"/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Buurtschap</v>
      </c>
      <c r="O60" s="12" t="str">
        <f>IFERROR(VLOOKUP(E60,categorieen!$D:$E,2,FALSE),"")</f>
        <v/>
      </c>
      <c r="P60" s="12" t="str">
        <f>IFERROR(VLOOKUP(F60,categorieen!$D:$E,2,FALSE),"")</f>
        <v/>
      </c>
      <c r="Q60" s="12" t="str">
        <f>IFERROR(VLOOKUP(G60,categorieen!$D:$E,2,FALSE),"")</f>
        <v/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5</v>
      </c>
      <c r="E65" s="12">
        <v>13</v>
      </c>
      <c r="F65" s="12">
        <v>8</v>
      </c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Bekende Brabanders</v>
      </c>
      <c r="O65" s="12" t="str">
        <f>IFERROR(VLOOKUP(E65,categorieen!$D:$E,2,FALSE),"")</f>
        <v>Met dubbel T</v>
      </c>
      <c r="P65" s="12" t="str">
        <f>IFERROR(VLOOKUP(F65,categorieen!$D:$E,2,FALSE),"")</f>
        <v>040 (Eindhoven)</v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2</v>
      </c>
      <c r="F70" s="12">
        <v>19</v>
      </c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(stand)beeld / (Rijks)monument</v>
      </c>
      <c r="P70" s="12" t="str">
        <f>IFERROR(VLOOKUP(F70,categorieen!$D:$E,2,FALSE),"")</f>
        <v>Natuur</v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/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/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/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/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/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/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/>
      <c r="F83" s="12"/>
      <c r="G83" s="12"/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/>
      </c>
      <c r="P83" s="12" t="str">
        <f>IFERROR(VLOOKUP(F83,categorieen!$D:$E,2,FALSE),"")</f>
        <v/>
      </c>
      <c r="Q83" s="12" t="str">
        <f>IFERROR(VLOOKUP(G83,categorieen!$D:$E,2,FALSE),"")</f>
        <v/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/>
      <c r="F86" s="12"/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/>
      </c>
      <c r="P86" s="12" t="str">
        <f>IFERROR(VLOOKUP(F86,categorieen!$D:$E,2,FALSE),"")</f>
        <v/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/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/>
      <c r="F93" s="12"/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/>
      </c>
      <c r="P93" s="12" t="str">
        <f>IFERROR(VLOOKUP(F93,categorieen!$D:$E,2,FALSE),"")</f>
        <v/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/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/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/>
      <c r="F117" s="12"/>
      <c r="G117" s="12"/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/>
      </c>
      <c r="P117" s="12" t="str">
        <f>IFERROR(VLOOKUP(F117,categorieen!$D:$E,2,FALSE),"")</f>
        <v/>
      </c>
      <c r="Q117" s="12" t="str">
        <f>IFERROR(VLOOKUP(G117,categorieen!$D:$E,2,FALSE),"")</f>
        <v/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/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/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31</v>
      </c>
      <c r="G126" s="12">
        <v>2</v>
      </c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Kleurrijk</v>
      </c>
      <c r="Q126" s="12" t="str">
        <f>IFERROR(VLOOKUP(G126,categorieen!$D:$E,2,FALSE),"")</f>
        <v>(stand)beeld / (Rijks)monument</v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/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/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/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/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6" sqref="C6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19</v>
      </c>
      <c r="C1" s="21">
        <v>40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Natuur</v>
      </c>
      <c r="C2" s="21" t="str">
        <f>VLOOKUP(C1,categorieen!$A:$B,2,FALSE)</f>
        <v>Typisch Brabants (TB)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Beerze</v>
      </c>
      <c r="B3" s="22"/>
      <c r="C3" s="22" t="str" cm="1">
        <f t="array" aca="1" ref="C3:C47" ca="1">TRANSPOSE(Lijstjemaken(C1))</f>
        <v>Balkenbrij</v>
      </c>
      <c r="D3" s="22"/>
      <c r="E3" s="22" t="str" cm="1">
        <f t="array" aca="1" ref="E3:E47" ca="1">TRANSPOSE(Lijstjemaken(E1))</f>
        <v>Baol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Biesbosch</v>
      </c>
      <c r="B4" s="22"/>
      <c r="C4" s="22" t="str">
        <f ca="1"/>
        <v>Bekant</v>
      </c>
      <c r="D4" s="22"/>
      <c r="E4" s="22" t="str">
        <f ca="1"/>
        <v>Bartels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Assumburg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Binnen Dieze</v>
      </c>
      <c r="B5" s="22"/>
      <c r="C5" s="22" t="str">
        <f ca="1"/>
        <v>Bieb</v>
      </c>
      <c r="D5" s="22"/>
      <c r="E5" s="22" t="str">
        <f ca="1"/>
        <v>Beerze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Bouvigne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Bossche Broek</v>
      </c>
      <c r="B6" s="22"/>
      <c r="C6" s="22" t="str">
        <f ca="1"/>
        <v>De Paarse Heide</v>
      </c>
      <c r="D6" s="22"/>
      <c r="E6" s="22" t="str">
        <f ca="1"/>
        <v>Bekant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Broekhoven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Bouvigne</v>
      </c>
      <c r="B7" s="22"/>
      <c r="C7" s="22" t="str">
        <f ca="1"/>
        <v>Elastiek</v>
      </c>
      <c r="D7" s="22"/>
      <c r="E7" s="22" t="str">
        <f ca="1"/>
        <v>Bergen op Zoom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Bossche Broek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De Blauwe Camer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Borstbeeld Asselbergs (BA)</v>
      </c>
      <c r="AR7" s="22"/>
    </row>
    <row r="8" spans="1:44" x14ac:dyDescent="0.25">
      <c r="A8" s="22" t="str">
        <f ca="1"/>
        <v>Cartierheide</v>
      </c>
      <c r="B8" s="22"/>
      <c r="C8" s="22" t="str">
        <f ca="1"/>
        <v>Halve Zolen</v>
      </c>
      <c r="D8" s="22"/>
      <c r="E8" s="22" t="str">
        <f ca="1"/>
        <v>Bergsche Maas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Bram Braam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Cartierheide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Zwaan 1623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Bram Braam</v>
      </c>
      <c r="AR8" s="22"/>
    </row>
    <row r="9" spans="1:44" x14ac:dyDescent="0.25">
      <c r="A9" s="22" t="str">
        <f ca="1"/>
        <v>De Eeendracht</v>
      </c>
      <c r="B9" s="22"/>
      <c r="C9" s="22" t="str">
        <f ca="1"/>
        <v>Houdoe</v>
      </c>
      <c r="D9" s="22"/>
      <c r="E9" s="22" t="str">
        <f ca="1"/>
        <v>Bierbrouwerij de Roos (BdR)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Bud Brocken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(plein) 1969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De Eeendracht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Halve Zolen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Pelikaan</v>
      </c>
      <c r="AP9" s="22"/>
      <c r="AQ9" s="22" t="str">
        <f ca="1"/>
        <v>Cartierheide</v>
      </c>
      <c r="AR9" s="22"/>
    </row>
    <row r="10" spans="1:44" x14ac:dyDescent="0.25">
      <c r="A10" s="22" t="str">
        <f ca="1"/>
        <v>De Korenbloem</v>
      </c>
      <c r="B10" s="22"/>
      <c r="C10" s="22" t="str">
        <f ca="1"/>
        <v>Papzakken</v>
      </c>
      <c r="D10" s="22"/>
      <c r="E10" s="22" t="str">
        <f ca="1"/>
        <v>Biestse Boulers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>
        <f ca="1"/>
        <v>0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Wilhelminapark (WP)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Drakenfontein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2 Gebroeders</v>
      </c>
      <c r="AP10" s="22"/>
      <c r="AQ10" s="22" t="str">
        <f ca="1"/>
        <v>De Blauwe Camer</v>
      </c>
      <c r="AR10" s="22"/>
    </row>
    <row r="11" spans="1:44" x14ac:dyDescent="0.25">
      <c r="A11" s="22" t="str">
        <f ca="1"/>
        <v>De Paarse Heide</v>
      </c>
      <c r="B11" s="22"/>
      <c r="C11" s="22" t="str">
        <f ca="1"/>
        <v>Ploegersland</v>
      </c>
      <c r="D11" s="22"/>
      <c r="E11" s="22" t="str">
        <f ca="1"/>
        <v>Binnen Dieze</v>
      </c>
      <c r="F11" s="22"/>
      <c r="G11" s="22" t="str">
        <f ca="1"/>
        <v>Eersel</v>
      </c>
      <c r="H11" s="22"/>
      <c r="I11" s="22" t="str">
        <f ca="1"/>
        <v>Ihattaren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>
        <f ca="1"/>
        <v>0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Ijzeren man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Heimolen</v>
      </c>
      <c r="AP11" s="22"/>
      <c r="AQ11" s="22" t="str">
        <f ca="1"/>
        <v>De Brand (herberg)</v>
      </c>
      <c r="AR11" s="22"/>
    </row>
    <row r="12" spans="1:44" x14ac:dyDescent="0.25">
      <c r="A12" s="22" t="str">
        <f ca="1"/>
        <v>Gorp en Roovert</v>
      </c>
      <c r="B12" s="22"/>
      <c r="C12" s="22" t="str">
        <f ca="1"/>
        <v>Schrobbelèr</v>
      </c>
      <c r="D12" s="22"/>
      <c r="E12" s="22" t="str">
        <f ca="1"/>
        <v>Borghs</v>
      </c>
      <c r="F12" s="22"/>
      <c r="G12" s="22" t="str">
        <f ca="1"/>
        <v>Houdoe</v>
      </c>
      <c r="H12" s="22"/>
      <c r="I12" s="22" t="str">
        <f ca="1"/>
        <v>Joris Mathijsen (JM)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>
        <f ca="1"/>
        <v>0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Moerputten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Lies</v>
      </c>
      <c r="AP12" s="22"/>
      <c r="AQ12" s="22" t="str">
        <f ca="1"/>
        <v>De Eeendracht</v>
      </c>
      <c r="AR12" s="22"/>
    </row>
    <row r="13" spans="1:44" x14ac:dyDescent="0.25">
      <c r="A13" s="22" t="str">
        <f ca="1"/>
        <v>Ijzeren man</v>
      </c>
      <c r="B13" s="22"/>
      <c r="C13" s="22" t="str">
        <f ca="1"/>
        <v>Snuifscheppers (SFS)</v>
      </c>
      <c r="D13" s="22"/>
      <c r="E13" s="22" t="str">
        <f ca="1"/>
        <v>Borstbeeld Asselbergs (BA)</v>
      </c>
      <c r="F13" s="22"/>
      <c r="G13" s="22" t="str">
        <f ca="1"/>
        <v>Hulsel</v>
      </c>
      <c r="H13" s="22"/>
      <c r="I13" s="22" t="str">
        <f ca="1"/>
        <v>Michael van Gerwen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Nieuw Vossemeer</v>
      </c>
      <c r="X13" s="22"/>
      <c r="Y13" s="22">
        <f ca="1"/>
        <v>0</v>
      </c>
      <c r="Z13" s="22"/>
      <c r="AA13" s="22">
        <f ca="1"/>
        <v>0</v>
      </c>
      <c r="AB13" s="22"/>
      <c r="AC13" s="22">
        <f ca="1"/>
        <v>0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Ijzeren man</v>
      </c>
      <c r="AL13" s="22"/>
      <c r="AM13" s="22" t="str">
        <f ca="1"/>
        <v>Wilhelminapark (WP)</v>
      </c>
      <c r="AN13" s="22"/>
      <c r="AO13" s="22" t="str">
        <f ca="1"/>
        <v>Nieuw Vossemeer</v>
      </c>
      <c r="AP13" s="22"/>
      <c r="AQ13" s="22" t="str">
        <f ca="1"/>
        <v>De Heuvel</v>
      </c>
      <c r="AR13" s="22"/>
    </row>
    <row r="14" spans="1:44" x14ac:dyDescent="0.25">
      <c r="A14" s="22" t="str">
        <f ca="1"/>
        <v>Kampina</v>
      </c>
      <c r="B14" s="22"/>
      <c r="C14" s="22" t="str">
        <f ca="1"/>
        <v>Strontrapers</v>
      </c>
      <c r="D14" s="22"/>
      <c r="E14" s="22" t="str">
        <f ca="1"/>
        <v>Bouvigne</v>
      </c>
      <c r="F14" s="22"/>
      <c r="G14" s="22" t="str">
        <f ca="1"/>
        <v>Noenes</v>
      </c>
      <c r="H14" s="22"/>
      <c r="I14" s="22" t="str">
        <f ca="1"/>
        <v>Ria Valk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Oosterplas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Kampina</v>
      </c>
      <c r="AL14" s="22"/>
      <c r="AM14" s="22">
        <f ca="1"/>
        <v>0</v>
      </c>
      <c r="AN14" s="22"/>
      <c r="AO14" s="22" t="str">
        <f ca="1"/>
        <v>Noordhoek</v>
      </c>
      <c r="AP14" s="22"/>
      <c r="AQ14" s="22" t="str">
        <f ca="1"/>
        <v>De Koepel</v>
      </c>
      <c r="AR14" s="22"/>
    </row>
    <row r="15" spans="1:44" x14ac:dyDescent="0.25">
      <c r="A15" s="22" t="str">
        <f ca="1"/>
        <v>Moerputten</v>
      </c>
      <c r="B15" s="22"/>
      <c r="C15" s="22" t="str">
        <f ca="1"/>
        <v>Worstenbroodje (WB)</v>
      </c>
      <c r="D15" s="22"/>
      <c r="E15" s="22" t="str">
        <f ca="1"/>
        <v>Bram Braam</v>
      </c>
      <c r="F15" s="22"/>
      <c r="G15" s="22" t="str">
        <f ca="1"/>
        <v>Nuenen</v>
      </c>
      <c r="H15" s="22"/>
      <c r="I15" s="22" t="str">
        <f ca="1"/>
        <v>Simon Tahamata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Ria Valk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Westpoint</v>
      </c>
      <c r="V15" s="22"/>
      <c r="W15" s="22" t="str">
        <f ca="1"/>
        <v>Piet de Visser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Moerputten</v>
      </c>
      <c r="AL15" s="22"/>
      <c r="AM15" s="22">
        <f ca="1"/>
        <v>0</v>
      </c>
      <c r="AN15" s="22"/>
      <c r="AO15" s="22" t="str">
        <f ca="1"/>
        <v>Ripasso</v>
      </c>
      <c r="AP15" s="22"/>
      <c r="AQ15" s="22" t="str">
        <f ca="1"/>
        <v>De Korenbloem</v>
      </c>
      <c r="AR15" s="22"/>
    </row>
    <row r="16" spans="1:44" x14ac:dyDescent="0.25">
      <c r="A16" s="22" t="str">
        <f ca="1"/>
        <v>Noenes</v>
      </c>
      <c r="B16" s="22"/>
      <c r="C16" s="22">
        <f ca="1"/>
        <v>0</v>
      </c>
      <c r="D16" s="22"/>
      <c r="E16" s="22" t="str">
        <f ca="1"/>
        <v>Broekhoven</v>
      </c>
      <c r="F16" s="22"/>
      <c r="G16" s="22" t="str">
        <f ca="1"/>
        <v>Papgat</v>
      </c>
      <c r="H16" s="22"/>
      <c r="I16" s="22" t="str">
        <f ca="1"/>
        <v>Van Geel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Snuifscheppers (SFS)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Wilhelminapark (WP)</v>
      </c>
      <c r="V16" s="22"/>
      <c r="W16" s="22" t="str">
        <f ca="1"/>
        <v>Sint Agatha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Noenes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Leest</v>
      </c>
      <c r="AR16" s="22"/>
    </row>
    <row r="17" spans="1:44" x14ac:dyDescent="0.25">
      <c r="A17" s="22" t="str">
        <f ca="1"/>
        <v>Oosterplas</v>
      </c>
      <c r="B17" s="22"/>
      <c r="C17" s="22">
        <f ca="1"/>
        <v>0</v>
      </c>
      <c r="D17" s="22"/>
      <c r="E17" s="22" t="str">
        <f ca="1"/>
        <v>Bud Brocken</v>
      </c>
      <c r="F17" s="22"/>
      <c r="G17" s="22" t="str">
        <f ca="1"/>
        <v>Winkel</v>
      </c>
      <c r="H17" s="22"/>
      <c r="I17" s="22" t="str">
        <f ca="1"/>
        <v>Van Roessel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Witte Dame</v>
      </c>
      <c r="P17" s="22"/>
      <c r="Q17" s="22">
        <f ca="1"/>
        <v>0</v>
      </c>
      <c r="R17" s="22"/>
      <c r="S17" s="22">
        <f ca="1"/>
        <v>0</v>
      </c>
      <c r="T17" s="22"/>
      <c r="U17" s="22">
        <f ca="1"/>
        <v>0</v>
      </c>
      <c r="V17" s="22"/>
      <c r="W17" s="22" t="str">
        <f ca="1"/>
        <v>t Blauwe Meer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Oosterplas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Zotte Mulders</v>
      </c>
      <c r="AR17" s="22"/>
    </row>
    <row r="18" spans="1:44" x14ac:dyDescent="0.25">
      <c r="A18" s="22" t="str">
        <f ca="1"/>
        <v>Venkraai</v>
      </c>
      <c r="B18" s="22"/>
      <c r="C18" s="22">
        <f ca="1"/>
        <v>0</v>
      </c>
      <c r="D18" s="22"/>
      <c r="E18" s="22" t="str">
        <f ca="1"/>
        <v>De Blauwe Camer</v>
      </c>
      <c r="F18" s="22"/>
      <c r="G18" s="22">
        <f ca="1"/>
        <v>0</v>
      </c>
      <c r="H18" s="22"/>
      <c r="I18" s="22" t="str">
        <f ca="1"/>
        <v>Wim van Est</v>
      </c>
      <c r="J18" s="22"/>
      <c r="K18" s="22">
        <f ca="1"/>
        <v>0</v>
      </c>
      <c r="L18" s="22"/>
      <c r="M18" s="22">
        <f ca="1"/>
        <v>0</v>
      </c>
      <c r="N18" s="22"/>
      <c r="O18" s="22">
        <f ca="1"/>
        <v>0</v>
      </c>
      <c r="P18" s="22"/>
      <c r="Q18" s="22">
        <f ca="1"/>
        <v>0</v>
      </c>
      <c r="R18" s="22"/>
      <c r="S18" s="22">
        <f ca="1"/>
        <v>0</v>
      </c>
      <c r="T18" s="22"/>
      <c r="U18" s="22">
        <f ca="1"/>
        <v>0</v>
      </c>
      <c r="V18" s="22"/>
      <c r="W18" s="22" t="str">
        <f ca="1"/>
        <v>t Zand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Venkraai</v>
      </c>
      <c r="AL18" s="22"/>
      <c r="AM18" s="22">
        <f ca="1"/>
        <v>0</v>
      </c>
      <c r="AN18" s="22"/>
      <c r="AO18" s="22" t="str">
        <f ca="1"/>
        <v>Westpoint</v>
      </c>
      <c r="AP18" s="22"/>
      <c r="AQ18" s="22" t="str">
        <f ca="1"/>
        <v>Drakenfontein</v>
      </c>
      <c r="AR18" s="22"/>
    </row>
    <row r="19" spans="1:44" x14ac:dyDescent="0.25">
      <c r="A19" s="22" t="str">
        <f ca="1"/>
        <v>Wilhelminapark (WP)</v>
      </c>
      <c r="B19" s="22"/>
      <c r="C19" s="22">
        <f ca="1"/>
        <v>0</v>
      </c>
      <c r="D19" s="22"/>
      <c r="E19" s="22" t="str">
        <f ca="1"/>
        <v>De Brand (herberg)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>
        <f ca="1"/>
        <v>0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Wilhelminapark (WP)</v>
      </c>
      <c r="AL19" s="22"/>
      <c r="AM19" s="22">
        <f ca="1"/>
        <v>0</v>
      </c>
      <c r="AN19" s="22"/>
      <c r="AO19" s="22" t="str">
        <f ca="1"/>
        <v>Wilhelminapark (WP)</v>
      </c>
      <c r="AP19" s="22"/>
      <c r="AQ19" s="22" t="str">
        <f ca="1"/>
        <v>Eersel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t Blauwe Meer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>
        <f ca="1"/>
        <v>0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>
        <f ca="1"/>
        <v>0</v>
      </c>
      <c r="AL20" s="22"/>
      <c r="AM20" s="22">
        <f ca="1"/>
        <v>0</v>
      </c>
      <c r="AN20" s="22"/>
      <c r="AO20" s="22" t="str">
        <f ca="1"/>
        <v>Wouw</v>
      </c>
      <c r="AP20" s="22"/>
      <c r="AQ20" s="22" t="str">
        <f ca="1"/>
        <v>Frits Spits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>
        <f ca="1"/>
        <v>0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Philips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>
        <f ca="1"/>
        <v>0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Kruikezeiker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>
        <f ca="1"/>
        <v>0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Lieve Lente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Noordhoek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Paaspop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Petrus en Paulus (PP)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Piet de Visser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Roel van Hemert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Roze Maandag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Simon Tahamata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Sint Agatha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Sint Anthonis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Sint Juttemis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Snuifscheppers (SFS)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t Blauwe Meer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Worstenbroodje (WB)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7ende Hemel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>
        <f ca="1"/>
        <v>0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>
        <f ca="1"/>
        <v>0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>
        <f ca="1"/>
        <v>0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>
        <f ca="1"/>
        <v>0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Bierbrouwerij de Roos (BdR)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Borghs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Glow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Beerze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Donders</v>
      </c>
      <c r="R52" s="22"/>
      <c r="S52" s="22" t="str">
        <f ca="1"/>
        <v>Binnen Dieze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Bram Braam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Beekse Bergen</v>
      </c>
    </row>
    <row r="53" spans="1:41" x14ac:dyDescent="0.25">
      <c r="A53" s="22" t="str">
        <f ca="1"/>
        <v>Nieuw Vossemeer</v>
      </c>
      <c r="B53" s="22"/>
      <c r="C53" s="22" t="str">
        <f ca="1"/>
        <v>KVL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Bierbrouwerij de Roos (BdR)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Elastiek</v>
      </c>
      <c r="R53" s="22"/>
      <c r="S53" s="22" t="str">
        <f ca="1"/>
        <v>Cartierheide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Bud Brocken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De Pelikaan</v>
      </c>
    </row>
    <row r="54" spans="1:41" x14ac:dyDescent="0.25">
      <c r="A54" s="22" t="str">
        <f ca="1"/>
        <v>Noenes</v>
      </c>
      <c r="B54" s="22"/>
      <c r="C54" s="22" t="str">
        <f ca="1"/>
        <v>Lies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Borghs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Halve Zolen</v>
      </c>
      <c r="P54" s="22"/>
      <c r="Q54" s="22" t="str">
        <f ca="1"/>
        <v>Glow</v>
      </c>
      <c r="R54" s="22"/>
      <c r="S54" s="22" t="str">
        <f ca="1"/>
        <v>Diessen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Drakenfontein</v>
      </c>
      <c r="AD54" s="22"/>
      <c r="AE54" s="22" t="str">
        <f ca="1"/>
        <v>Donders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Drakenfontein</v>
      </c>
    </row>
    <row r="55" spans="1:41" x14ac:dyDescent="0.25">
      <c r="A55" s="22" t="str">
        <f ca="1"/>
        <v>Nooit Gedacht</v>
      </c>
      <c r="B55" s="22"/>
      <c r="C55" s="22" t="str">
        <f ca="1"/>
        <v>NAC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Anthonis</v>
      </c>
      <c r="L55" s="22"/>
      <c r="M55" s="22" t="str">
        <f ca="1"/>
        <v>Diessen</v>
      </c>
      <c r="N55" s="22"/>
      <c r="O55" s="22" t="str">
        <f ca="1"/>
        <v>Houdoe</v>
      </c>
      <c r="P55" s="22"/>
      <c r="Q55" s="22" t="str">
        <f ca="1"/>
        <v>Intents</v>
      </c>
      <c r="R55" s="22"/>
      <c r="S55" s="22" t="str">
        <f ca="1"/>
        <v>Elastiek</v>
      </c>
      <c r="T55" s="22"/>
      <c r="U55" s="22" t="str">
        <f ca="1"/>
        <v>Lies</v>
      </c>
      <c r="V55" s="22"/>
      <c r="W55" s="22" t="str">
        <f ca="1"/>
        <v>De Pelikaan</v>
      </c>
      <c r="X55" s="22"/>
      <c r="Y55" s="22" t="str">
        <f ca="1"/>
        <v>Lieve Lente</v>
      </c>
      <c r="Z55" s="22"/>
      <c r="AA55" s="22" t="str">
        <f ca="1"/>
        <v>Elastiek</v>
      </c>
      <c r="AB55" s="22"/>
      <c r="AC55" s="22" t="str">
        <f ca="1"/>
        <v>Halve Zolen</v>
      </c>
      <c r="AD55" s="22"/>
      <c r="AE55" s="22" t="str">
        <f ca="1"/>
        <v>Ihattaren</v>
      </c>
      <c r="AF55" s="22"/>
      <c r="AG55" s="22" t="str">
        <f ca="1"/>
        <v>Pand P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KVL</v>
      </c>
    </row>
    <row r="56" spans="1:41" x14ac:dyDescent="0.25">
      <c r="A56" s="22" t="str">
        <f ca="1"/>
        <v>Noordhoek</v>
      </c>
      <c r="B56" s="22"/>
      <c r="C56" s="22" t="str">
        <f ca="1"/>
        <v>Oss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Blauwe Camer</v>
      </c>
      <c r="J56" s="22"/>
      <c r="K56" s="22" t="str">
        <f ca="1"/>
        <v>Sint Jan</v>
      </c>
      <c r="L56" s="22"/>
      <c r="M56" s="22" t="str">
        <f ca="1"/>
        <v>Elastiek</v>
      </c>
      <c r="N56" s="22"/>
      <c r="O56" s="22" t="str">
        <f ca="1"/>
        <v>Kruikezeiker</v>
      </c>
      <c r="P56" s="22"/>
      <c r="Q56" s="22" t="str">
        <f ca="1"/>
        <v>In 't Groene Woud (GW)</v>
      </c>
      <c r="R56" s="22"/>
      <c r="S56" s="22" t="str">
        <f ca="1"/>
        <v>Lieve Lente</v>
      </c>
      <c r="T56" s="22"/>
      <c r="U56" s="22" t="str">
        <f ca="1"/>
        <v>NAC</v>
      </c>
      <c r="V56" s="22"/>
      <c r="W56" s="22" t="str">
        <f ca="1"/>
        <v>De 2 Gebroeders</v>
      </c>
      <c r="X56" s="22"/>
      <c r="Y56" s="22" t="str">
        <f ca="1"/>
        <v>Venkraai</v>
      </c>
      <c r="Z56" s="22"/>
      <c r="AA56" s="22" t="str">
        <f ca="1"/>
        <v>Lieve Lente</v>
      </c>
      <c r="AB56" s="22"/>
      <c r="AC56" s="22" t="str">
        <f ca="1"/>
        <v>Moerputten</v>
      </c>
      <c r="AD56" s="22"/>
      <c r="AE56" s="22" t="str">
        <f ca="1"/>
        <v>Joris Mathijsen (JM)</v>
      </c>
      <c r="AF56" s="22"/>
      <c r="AG56" s="22" t="str">
        <f ca="1"/>
        <v>Vestzak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Nieuw Vossemeer</v>
      </c>
    </row>
    <row r="57" spans="1:41" x14ac:dyDescent="0.25">
      <c r="A57" s="22" t="str">
        <f ca="1"/>
        <v>Nuenen</v>
      </c>
      <c r="B57" s="22"/>
      <c r="C57" s="22" t="str">
        <f ca="1"/>
        <v>Rooi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Gorp en Roovert</v>
      </c>
      <c r="N57" s="22"/>
      <c r="O57" s="22" t="str">
        <f ca="1"/>
        <v>Papgat</v>
      </c>
      <c r="P57" s="22"/>
      <c r="Q57" s="22" t="str">
        <f ca="1"/>
        <v>Rooi</v>
      </c>
      <c r="R57" s="22"/>
      <c r="S57" s="22" t="str">
        <f ca="1"/>
        <v>Lies</v>
      </c>
      <c r="T57" s="22"/>
      <c r="U57" s="22" t="str">
        <f ca="1"/>
        <v>Petrus en Paulus (PP)</v>
      </c>
      <c r="V57" s="22"/>
      <c r="W57" s="22" t="str">
        <f ca="1"/>
        <v>De Zotte Mulders</v>
      </c>
      <c r="X57" s="22"/>
      <c r="Y57" s="22">
        <f ca="1"/>
        <v>0</v>
      </c>
      <c r="Z57" s="22"/>
      <c r="AA57" s="22" t="str">
        <f ca="1"/>
        <v>Pand P</v>
      </c>
      <c r="AB57" s="22"/>
      <c r="AC57" s="22" t="str">
        <f ca="1"/>
        <v>Oosterplas</v>
      </c>
      <c r="AD57" s="22"/>
      <c r="AE57" s="22" t="str">
        <f ca="1"/>
        <v>Michael van Gerwen</v>
      </c>
      <c r="AF57" s="22"/>
      <c r="AG57" s="22">
        <f ca="1"/>
        <v>0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Oss</v>
      </c>
    </row>
    <row r="58" spans="1:41" x14ac:dyDescent="0.25">
      <c r="A58" s="22">
        <f ca="1"/>
        <v>0</v>
      </c>
      <c r="B58" s="22"/>
      <c r="C58" s="22" t="str">
        <f ca="1"/>
        <v>Wouw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Sint Joris</v>
      </c>
      <c r="N58" s="22"/>
      <c r="O58" s="22" t="str">
        <f ca="1"/>
        <v>Papzakken</v>
      </c>
      <c r="P58" s="22"/>
      <c r="Q58" s="22" t="str">
        <f ca="1"/>
        <v>Roze Maandag</v>
      </c>
      <c r="R58" s="22"/>
      <c r="S58" s="22" t="str">
        <f ca="1"/>
        <v>Liessel</v>
      </c>
      <c r="T58" s="22"/>
      <c r="U58" s="22" t="str">
        <f ca="1"/>
        <v>Sint Joris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(plein) 1969</v>
      </c>
      <c r="AB58" s="22"/>
      <c r="AC58" s="22" t="str">
        <f ca="1"/>
        <v>Sint Jan</v>
      </c>
      <c r="AD58" s="22"/>
      <c r="AE58" s="22" t="str">
        <f ca="1"/>
        <v>NAC</v>
      </c>
      <c r="AF58" s="22"/>
      <c r="AG58" s="22">
        <f ca="1"/>
        <v>0</v>
      </c>
      <c r="AH58" s="22"/>
      <c r="AI58" s="22" t="str">
        <f ca="1"/>
        <v>Papzakken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Piet de Visser</v>
      </c>
    </row>
    <row r="59" spans="1:41" x14ac:dyDescent="0.25">
      <c r="A59" s="22">
        <f ca="1"/>
        <v>0</v>
      </c>
      <c r="B59" s="22"/>
      <c r="C59" s="22">
        <f ca="1"/>
        <v>0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>
        <f ca="1"/>
        <v>0</v>
      </c>
      <c r="N59" s="22"/>
      <c r="O59" s="22" t="str">
        <f ca="1"/>
        <v>Ploegersland</v>
      </c>
      <c r="P59" s="22"/>
      <c r="Q59" s="22" t="str">
        <f ca="1"/>
        <v>t Blauwe Meer</v>
      </c>
      <c r="R59" s="22"/>
      <c r="S59" s="22" t="str">
        <f ca="1"/>
        <v>Nieuw Vossemeer</v>
      </c>
      <c r="T59" s="22"/>
      <c r="U59" s="22" t="str">
        <f ca="1"/>
        <v>Sint Juttemis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Sint Joris</v>
      </c>
      <c r="AB59" s="22"/>
      <c r="AC59" s="22" t="str">
        <f ca="1"/>
        <v>7ende Hemel</v>
      </c>
      <c r="AD59" s="22"/>
      <c r="AE59" s="22" t="str">
        <f ca="1"/>
        <v>Piet de Visser</v>
      </c>
      <c r="AF59" s="22"/>
      <c r="AG59" s="22">
        <f ca="1"/>
        <v>0</v>
      </c>
      <c r="AH59" s="22"/>
      <c r="AI59" s="22" t="str">
        <f ca="1"/>
        <v>Ploegersland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Ria Valk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>
        <f ca="1"/>
        <v>0</v>
      </c>
      <c r="N60" s="22"/>
      <c r="O60" s="22" t="str">
        <f ca="1"/>
        <v>Rooi</v>
      </c>
      <c r="P60" s="22"/>
      <c r="Q60" s="22" t="str">
        <f ca="1"/>
        <v>Van Geel</v>
      </c>
      <c r="R60" s="22"/>
      <c r="S60" s="22" t="str">
        <f ca="1"/>
        <v>Piet de Visser</v>
      </c>
      <c r="T60" s="22"/>
      <c r="U60" s="22" t="str">
        <f ca="1"/>
        <v>Wilhelminapark (WP)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St. Willebrord</v>
      </c>
      <c r="AB60" s="22"/>
      <c r="AC60" s="22">
        <f ca="1"/>
        <v>0</v>
      </c>
      <c r="AD60" s="22"/>
      <c r="AE60" s="22" t="str">
        <f ca="1"/>
        <v>Roel van Hemert</v>
      </c>
      <c r="AF60" s="22"/>
      <c r="AG60" s="22">
        <f ca="1"/>
        <v>0</v>
      </c>
      <c r="AH60" s="22"/>
      <c r="AI60" s="22" t="str">
        <f ca="1"/>
        <v>Schrobbelèr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Venkraai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Sint Juttemis</v>
      </c>
      <c r="P61" s="22"/>
      <c r="Q61" s="22" t="str">
        <f ca="1"/>
        <v>Wim van Est</v>
      </c>
      <c r="R61" s="22"/>
      <c r="S61" s="22">
        <f ca="1"/>
        <v>0</v>
      </c>
      <c r="T61" s="22"/>
      <c r="U61" s="22">
        <f ca="1"/>
        <v>0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t Kruiken(plein)</v>
      </c>
      <c r="AB61" s="22"/>
      <c r="AC61" s="22">
        <f ca="1"/>
        <v>0</v>
      </c>
      <c r="AD61" s="22"/>
      <c r="AE61" s="22" t="str">
        <f ca="1"/>
        <v>Simon Tahamata</v>
      </c>
      <c r="AF61" s="22"/>
      <c r="AG61" s="22">
        <f ca="1"/>
        <v>0</v>
      </c>
      <c r="AH61" s="22"/>
      <c r="AI61" s="22" t="str">
        <f ca="1"/>
        <v>Snuifscheppers (SFS)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Worstenbroodje (WB)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7ende Hemel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Snuifscheppers (SFS)</v>
      </c>
      <c r="P62" s="22"/>
      <c r="Q62" s="22" t="str">
        <f ca="1"/>
        <v>Witte Dame</v>
      </c>
      <c r="R62" s="22"/>
      <c r="S62" s="22">
        <f ca="1"/>
        <v>0</v>
      </c>
      <c r="T62" s="22"/>
      <c r="U62" s="22">
        <f ca="1"/>
        <v>0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>
        <f ca="1"/>
        <v>0</v>
      </c>
      <c r="AB62" s="22"/>
      <c r="AC62" s="22">
        <f ca="1"/>
        <v>0</v>
      </c>
      <c r="AD62" s="22"/>
      <c r="AE62" s="22" t="str">
        <f ca="1"/>
        <v>Van Geel</v>
      </c>
      <c r="AF62" s="22"/>
      <c r="AG62" s="22">
        <f ca="1"/>
        <v>0</v>
      </c>
      <c r="AH62" s="22"/>
      <c r="AI62" s="22" t="str">
        <f ca="1"/>
        <v>Strontrapers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Wouw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>
        <f ca="1"/>
        <v>0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Stinsel</v>
      </c>
      <c r="P63" s="22"/>
      <c r="Q63" s="22">
        <f ca="1"/>
        <v>0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Van Roessel</v>
      </c>
      <c r="AF63" s="22"/>
      <c r="AG63" s="22">
        <f ca="1"/>
        <v>0</v>
      </c>
      <c r="AH63" s="22"/>
      <c r="AI63" s="22" t="str">
        <f ca="1"/>
        <v>Worstenbroodje (WB)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>
        <f ca="1"/>
        <v>0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Strontrapers</v>
      </c>
      <c r="P64" s="22"/>
      <c r="Q64" s="22">
        <f ca="1"/>
        <v>0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Wim van Est</v>
      </c>
      <c r="AF64" s="22"/>
      <c r="AG64" s="22">
        <f ca="1"/>
        <v>0</v>
      </c>
      <c r="AH64" s="22"/>
      <c r="AI64" s="22">
        <f ca="1"/>
        <v>0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Pand P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Van Roessel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>
        <f ca="1"/>
        <v>0</v>
      </c>
      <c r="AF65" s="22"/>
      <c r="AG65" s="22">
        <f ca="1"/>
        <v>0</v>
      </c>
      <c r="AH65" s="22"/>
      <c r="AI65" s="22">
        <f ca="1"/>
        <v>0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Ripasso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>
        <f ca="1"/>
        <v>0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Schrobbelèr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Sint Joris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Van Roessel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Venkraai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Worstenbroodje (WB)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7ende Hemel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>
        <f ca="1"/>
        <v>0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Snuifscheppers (SFS)</v>
      </c>
      <c r="D12" t="str">
        <f ca="1"/>
        <v>Drakenfontein</v>
      </c>
    </row>
    <row r="13" spans="1:4" x14ac:dyDescent="0.25">
      <c r="A13" t="str">
        <f ca="1"/>
        <v>Strontrapers</v>
      </c>
      <c r="D13" t="str">
        <f ca="1"/>
        <v>Evoluon</v>
      </c>
    </row>
    <row r="14" spans="1:4" x14ac:dyDescent="0.25">
      <c r="A14" t="str">
        <f ca="1"/>
        <v>Wouw</v>
      </c>
      <c r="D14" t="str">
        <f ca="1"/>
        <v>Frits Philips</v>
      </c>
    </row>
    <row r="15" spans="1:4" x14ac:dyDescent="0.25">
      <c r="A15">
        <f ca="1"/>
        <v>0</v>
      </c>
      <c r="D15" t="str">
        <f ca="1"/>
        <v>Helmond</v>
      </c>
    </row>
    <row r="16" spans="1:4" x14ac:dyDescent="0.25">
      <c r="A16">
        <f ca="1"/>
        <v>0</v>
      </c>
      <c r="D16" t="str">
        <f ca="1"/>
        <v>Kampina</v>
      </c>
    </row>
    <row r="17" spans="1:4" x14ac:dyDescent="0.25">
      <c r="A17">
        <f ca="1"/>
        <v>0</v>
      </c>
      <c r="D17" t="str">
        <f ca="1"/>
        <v>KVL</v>
      </c>
    </row>
    <row r="18" spans="1:4" x14ac:dyDescent="0.25">
      <c r="A18">
        <f ca="1"/>
        <v>0</v>
      </c>
      <c r="D18" t="str">
        <f ca="1"/>
        <v>Lunetten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Sint Jan</v>
      </c>
    </row>
    <row r="21" spans="1:4" x14ac:dyDescent="0.25">
      <c r="A21">
        <f ca="1"/>
        <v>0</v>
      </c>
      <c r="D21" t="str">
        <f ca="1"/>
        <v>Sint Joris</v>
      </c>
    </row>
    <row r="22" spans="1:4" x14ac:dyDescent="0.25">
      <c r="A22">
        <f ca="1"/>
        <v>0</v>
      </c>
      <c r="D22" t="str">
        <f ca="1"/>
        <v>Van Roessel</v>
      </c>
    </row>
    <row r="23" spans="1:4" x14ac:dyDescent="0.25">
      <c r="A23">
        <f ca="1"/>
        <v>0</v>
      </c>
      <c r="D23" t="str">
        <f ca="1"/>
        <v>Wim van Est</v>
      </c>
    </row>
    <row r="24" spans="1:4" x14ac:dyDescent="0.25">
      <c r="A24">
        <f ca="1"/>
        <v>0</v>
      </c>
      <c r="D24" t="str">
        <f ca="1"/>
        <v>Witte Dame</v>
      </c>
    </row>
    <row r="25" spans="1:4" x14ac:dyDescent="0.25">
      <c r="A25">
        <f ca="1"/>
        <v>0</v>
      </c>
      <c r="D25" t="str">
        <f ca="1"/>
        <v>Zittend Meisje</v>
      </c>
    </row>
    <row r="26" spans="1:4" x14ac:dyDescent="0.25">
      <c r="A26">
        <f ca="1"/>
        <v>0</v>
      </c>
      <c r="D26">
        <f ca="1"/>
        <v>0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Met B 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/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/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/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2020-12-30T12:00:15Z</dcterms:modified>
</cp:coreProperties>
</file>