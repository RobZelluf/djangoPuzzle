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4CE09354-FF0B-42AB-AA7F-86B2A65CFE11}" xr6:coauthVersionLast="45" xr6:coauthVersionMax="45" xr10:uidLastSave="{00000000-0000-0000-0000-000000000000}"/>
  <bookViews>
    <workbookView xWindow="615" yWindow="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5" i="3" l="1"/>
  <c r="R131" i="3"/>
  <c r="R22" i="3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<sst xmlns="http://schemas.openxmlformats.org/spreadsheetml/2006/main" count="447" uniqueCount="236">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</sst>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24" val="23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workbookViewId="0">
      <selection activeCell="D18" sqref="D18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8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18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16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24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16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19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94" zoomScale="85" zoomScaleNormal="85" workbookViewId="0">
      <selection activeCell="I115" sqref="I115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>
        <v>35</v>
      </c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>Parel in het Groen (PITG)</v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37</v>
      </c>
      <c r="F22" s="12">
        <v>38</v>
      </c>
      <c r="G22" s="12">
        <v>11</v>
      </c>
      <c r="H22" s="12">
        <v>12</v>
      </c>
      <c r="I22" s="12">
        <v>2</v>
      </c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s Hertogenbosch (DB)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>(stand)beeld / (Rijks)monument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15</v>
      </c>
      <c r="E33" s="12">
        <v>4</v>
      </c>
      <c r="F33" s="12"/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Getal/Cijfer</v>
      </c>
      <c r="O33" s="12" t="str">
        <f>IFERROR(VLOOKUP(E33,categorieen!$D:$E,2,FALSE),"")</f>
        <v>Zes letters</v>
      </c>
      <c r="P33" s="12" t="str">
        <f>IFERROR(VLOOKUP(F33,categorieen!$D:$E,2,FALSE),"")</f>
        <v/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 t="str">
        <f>IFERROR(VLOOKUP(C35,categorieen!$D:$E,2,FALSE),"")</f>
        <v>076 (Breda)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>Water</v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>Festival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>
        <v>42</v>
      </c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>7 letters</v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>
        <v>19</v>
      </c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>Natuur</v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>(stand)beeld / (Rijks)monument</v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>
        <v>29</v>
      </c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>Hilvarenbeek</v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>(stand)beeld / (Rijks)monument</v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>Alaaf</v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>
        <v>38</v>
      </c>
      <c r="G118" s="12">
        <v>11</v>
      </c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>Sport</v>
      </c>
      <c r="Q118" s="12" t="str">
        <f>IFERROR(VLOOKUP(G118,categorieen!$D:$E,2,FALSE),"")</f>
        <v>Tilburg</v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Tilburg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>
        <v>10</v>
      </c>
      <c r="H129" s="12">
        <v>30</v>
      </c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>Begint met een W</v>
      </c>
      <c r="R129" s="12" t="str">
        <f>IFERROR(VLOOKUP(H129,categorieen!$D:$E,2,FALSE),"")</f>
        <v>In de volksmond (IDV)</v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>Kasteel</v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S3" sqref="S3:S10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29</v>
      </c>
      <c r="C1" s="21">
        <v>34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Hilvarenbeek</v>
      </c>
      <c r="C2" s="21" t="str">
        <f>VLOOKUP(C1,categorieen!$A:$B,2,FALSE)</f>
        <v>Met 4 Wieken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Beekse Bergen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Bierbrouwerij de Roos (BdR)</v>
      </c>
      <c r="B4" s="22"/>
      <c r="C4" s="22" t="str">
        <f ca="1"/>
        <v>De Eeendracht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Biestse Boulers</v>
      </c>
      <c r="B5" s="22"/>
      <c r="C5" s="22" t="str">
        <f ca="1"/>
        <v>De Korenbloem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Eeendracht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Borstbeeld Asselbergs (BA)</v>
      </c>
      <c r="B6" s="22"/>
      <c r="C6" s="22" t="str">
        <f ca="1"/>
        <v>De Leest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Paarse Heide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De Vrijthof</v>
      </c>
      <c r="B7" s="22"/>
      <c r="C7" s="22" t="str">
        <f ca="1"/>
        <v>De Pelikaan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De Pelikaan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Diessen</v>
      </c>
      <c r="B8" s="22"/>
      <c r="C8" s="22" t="str">
        <f ca="1"/>
        <v>De 2 Gebroeders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Witte Dame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De 2 Gebroeders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Elastiek</v>
      </c>
      <c r="B9" s="22"/>
      <c r="C9" s="22" t="str">
        <f ca="1"/>
        <v>De Zotte Mulders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Worstenbroodje (WB)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Heimolen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Gorp en Roovert</v>
      </c>
      <c r="B10" s="22"/>
      <c r="C10" s="22" t="str">
        <f ca="1"/>
        <v>De Zwaan 1623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 t="str">
        <f ca="1"/>
        <v>Wouw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Lies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Roel van Hemert</v>
      </c>
      <c r="B11" s="22"/>
      <c r="C11" s="22" t="str">
        <f ca="1"/>
        <v>Heimolen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Nieuw Vossemeer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Joris</v>
      </c>
      <c r="B12" s="22"/>
      <c r="C12" s="22" t="str">
        <f ca="1"/>
        <v>Nooit Gedacht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 t="str">
        <f ca="1"/>
        <v>Noordhoek</v>
      </c>
      <c r="AP12" s="22"/>
      <c r="AQ12" s="22" t="str">
        <f ca="1"/>
        <v>De Brand (herberg)</v>
      </c>
      <c r="AR12" s="22"/>
    </row>
    <row r="13" spans="1:44" x14ac:dyDescent="0.25">
      <c r="A13" s="22">
        <f ca="1"/>
        <v>0</v>
      </c>
      <c r="B13" s="22"/>
      <c r="C13" s="22" t="str">
        <f ca="1"/>
        <v>Sint Agatha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 t="str">
        <f ca="1"/>
        <v>7ende Hemel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 t="str">
        <f ca="1"/>
        <v>Papzakken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 t="str">
        <f ca="1"/>
        <v>Sint Anthonis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 t="str">
        <f ca="1"/>
        <v>Ripasso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Sint Jan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 t="str">
        <f ca="1"/>
        <v>St. Willebrord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>
        <f ca="1"/>
        <v>0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t Zand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>
        <f ca="1"/>
        <v>0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Wilhelminapark (WP)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>
        <f ca="1"/>
        <v>0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Sint Agatha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Wouw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>
        <f ca="1"/>
        <v>0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t Blauwe Meer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>
        <f ca="1"/>
        <v>0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>
        <f ca="1"/>
        <v>0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Zand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Beerze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Bouvigne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Brand (herberg)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Pelikaan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Zwaan 1623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Elastiek</v>
      </c>
      <c r="J59" s="22"/>
      <c r="K59" s="22" t="str">
        <f ca="1"/>
        <v>St. Willebrord</v>
      </c>
      <c r="L59" s="22"/>
      <c r="M59" s="22" t="str">
        <f ca="1"/>
        <v>Roel van Hemert</v>
      </c>
      <c r="N59" s="22"/>
      <c r="O59" s="22" t="str">
        <f ca="1"/>
        <v>Papzakken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Heeswijk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Ploegersland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Nuenen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Strontrapers</v>
      </c>
      <c r="AJ64" s="22"/>
      <c r="AK64" s="22">
        <f ca="1"/>
        <v>0</v>
      </c>
      <c r="AL64" s="22"/>
      <c r="AM64" s="22" t="str">
        <f ca="1"/>
        <v>Ria Valk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Nooit Gedacht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t Kruiken(plein)</v>
      </c>
      <c r="AJ65" s="22"/>
      <c r="AK65" s="22">
        <f ca="1"/>
        <v>0</v>
      </c>
      <c r="AL65" s="22"/>
      <c r="AM65" s="22" t="str">
        <f ca="1"/>
        <v>Ripasso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Venkraai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 t="str">
        <f ca="1"/>
        <v>Worstenbroodje (WB)</v>
      </c>
      <c r="AJ66" s="22"/>
      <c r="AK66" s="22">
        <f ca="1"/>
        <v>0</v>
      </c>
      <c r="AL66" s="22"/>
      <c r="AM66" s="22" t="str">
        <f ca="1"/>
        <v>Sint Jan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Witte Dame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Stinsel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Van Geel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 t="str">
        <f ca="1"/>
        <v>Vestzak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t Kruiken(plein)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Van Roessel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Venkraai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Worstenbroodje (WB)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7ende Hemel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Chassé</v>
      </c>
    </row>
    <row r="8" spans="1:4" x14ac:dyDescent="0.25">
      <c r="A8" t="str">
        <f ca="1"/>
        <v>Pand P</v>
      </c>
      <c r="D8" t="str">
        <f ca="1"/>
        <v>De Blauwe Camer</v>
      </c>
    </row>
    <row r="9" spans="1:4" x14ac:dyDescent="0.25">
      <c r="A9" t="str">
        <f ca="1"/>
        <v>Paperclip</v>
      </c>
      <c r="D9" t="str">
        <f ca="1"/>
        <v>De Koepel</v>
      </c>
    </row>
    <row r="10" spans="1:4" x14ac:dyDescent="0.25">
      <c r="A10" t="str">
        <f ca="1"/>
        <v>Sint Anthonis</v>
      </c>
      <c r="D10" t="str">
        <f ca="1"/>
        <v>De Korenbloem</v>
      </c>
    </row>
    <row r="11" spans="1:4" x14ac:dyDescent="0.25">
      <c r="A11" t="str">
        <f ca="1"/>
        <v>Sint Joris</v>
      </c>
      <c r="D11" t="str">
        <f ca="1"/>
        <v>De Laat</v>
      </c>
    </row>
    <row r="12" spans="1:4" x14ac:dyDescent="0.25">
      <c r="A12" t="str">
        <f ca="1"/>
        <v>Sint Juttemis</v>
      </c>
      <c r="D12" t="str">
        <f ca="1"/>
        <v>De 2 Gebroeders</v>
      </c>
    </row>
    <row r="13" spans="1:4" x14ac:dyDescent="0.25">
      <c r="A13" t="str">
        <f ca="1"/>
        <v>Snuifscheppers (SFS)</v>
      </c>
      <c r="D13" t="str">
        <f ca="1"/>
        <v>De Zwaan 1623</v>
      </c>
    </row>
    <row r="14" spans="1:4" x14ac:dyDescent="0.25">
      <c r="A14" t="str">
        <f ca="1"/>
        <v>Strontrapers</v>
      </c>
      <c r="D14" t="str">
        <f ca="1"/>
        <v>Drakenfontein</v>
      </c>
    </row>
    <row r="15" spans="1:4" x14ac:dyDescent="0.25">
      <c r="A15" t="str">
        <f ca="1"/>
        <v>Wouw</v>
      </c>
      <c r="D15" t="str">
        <f ca="1"/>
        <v>Evoluon</v>
      </c>
    </row>
    <row r="16" spans="1:4" x14ac:dyDescent="0.25">
      <c r="A16">
        <f ca="1"/>
        <v>0</v>
      </c>
      <c r="D16" t="str">
        <f ca="1"/>
        <v>Frits Philips</v>
      </c>
    </row>
    <row r="17" spans="1:4" x14ac:dyDescent="0.25">
      <c r="A17">
        <f ca="1"/>
        <v>0</v>
      </c>
      <c r="D17" t="str">
        <f ca="1"/>
        <v>Heeswijk</v>
      </c>
    </row>
    <row r="18" spans="1:4" x14ac:dyDescent="0.25">
      <c r="A18">
        <f ca="1"/>
        <v>0</v>
      </c>
      <c r="D18" t="str">
        <f ca="1"/>
        <v>Helmond</v>
      </c>
    </row>
    <row r="19" spans="1:4" x14ac:dyDescent="0.25">
      <c r="A19">
        <f ca="1"/>
        <v>0</v>
      </c>
      <c r="D19" t="str">
        <f ca="1"/>
        <v>Kruikezeiker</v>
      </c>
    </row>
    <row r="20" spans="1:4" x14ac:dyDescent="0.25">
      <c r="A20">
        <f ca="1"/>
        <v>0</v>
      </c>
      <c r="D20" t="str">
        <f ca="1"/>
        <v>KVL</v>
      </c>
    </row>
    <row r="21" spans="1:4" x14ac:dyDescent="0.25">
      <c r="A21">
        <f ca="1"/>
        <v>0</v>
      </c>
      <c r="D21" t="str">
        <f ca="1"/>
        <v>Lunetten</v>
      </c>
    </row>
    <row r="22" spans="1:4" x14ac:dyDescent="0.25">
      <c r="A22">
        <f ca="1"/>
        <v>0</v>
      </c>
      <c r="D22" t="str">
        <f ca="1"/>
        <v>Lunetten</v>
      </c>
    </row>
    <row r="23" spans="1:4" x14ac:dyDescent="0.25">
      <c r="A23">
        <f ca="1"/>
        <v>0</v>
      </c>
      <c r="D23" t="str">
        <f ca="1"/>
        <v>Maurick</v>
      </c>
    </row>
    <row r="24" spans="1:4" x14ac:dyDescent="0.25">
      <c r="A24">
        <f ca="1"/>
        <v>0</v>
      </c>
      <c r="D24" t="str">
        <f ca="1"/>
        <v>Nemerlaer</v>
      </c>
    </row>
    <row r="25" spans="1:4" x14ac:dyDescent="0.25">
      <c r="A25">
        <f ca="1"/>
        <v>0</v>
      </c>
      <c r="D25" t="str">
        <f ca="1"/>
        <v>Sint Jan</v>
      </c>
    </row>
    <row r="26" spans="1:4" x14ac:dyDescent="0.25">
      <c r="A26">
        <f ca="1"/>
        <v>0</v>
      </c>
      <c r="D26" t="str">
        <f ca="1"/>
        <v>Sint Joris</v>
      </c>
    </row>
    <row r="27" spans="1:4" x14ac:dyDescent="0.25">
      <c r="A27">
        <f ca="1"/>
        <v>0</v>
      </c>
      <c r="D27" t="str">
        <f ca="1"/>
        <v>Sint Juttemis</v>
      </c>
    </row>
    <row r="28" spans="1:4" x14ac:dyDescent="0.25">
      <c r="A28">
        <f ca="1"/>
        <v>0</v>
      </c>
      <c r="D28" t="str">
        <f ca="1"/>
        <v>Van Roessel</v>
      </c>
    </row>
    <row r="29" spans="1:4" x14ac:dyDescent="0.25">
      <c r="A29">
        <f ca="1"/>
        <v>0</v>
      </c>
      <c r="D29" t="str">
        <f ca="1"/>
        <v>Wim van Est</v>
      </c>
    </row>
    <row r="30" spans="1:4" x14ac:dyDescent="0.25">
      <c r="A30">
        <f ca="1"/>
        <v>0</v>
      </c>
      <c r="D30" t="str">
        <f ca="1"/>
        <v>Witte Dame</v>
      </c>
    </row>
    <row r="31" spans="1:4" x14ac:dyDescent="0.25">
      <c r="A31">
        <f ca="1"/>
        <v>0</v>
      </c>
      <c r="D31" t="str">
        <f ca="1"/>
        <v>Zittend Meisje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24</v>
      </c>
      <c r="C2">
        <v>40</v>
      </c>
    </row>
    <row r="4" spans="1:3" x14ac:dyDescent="0.25">
      <c r="A4" t="str" cm="1">
        <f t="array" ref="A4">INDEX(Antwoorden!$M$2:$T$133,'Per antwoord'!A2,1)</f>
        <v>Kasteel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Begint met een B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Natuur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076 (Breda)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>(stand)beeld / (Rijks)monument</v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>Eten en Drinken (ED)</v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2021-01-01T15:40:00Z</dcterms:modified>
</cp:coreProperties>
</file>