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D31457F2-2647-4C7D-B079-A1994EB25B94}" xr6:coauthVersionLast="45" xr6:coauthVersionMax="45" xr10:uidLastSave="{00000000-0000-0000-0000-000000000000}"/>
  <bookViews>
    <workbookView xWindow="615" yWindow="9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5" i="3" l="1"/>
  <c r="R131" i="3"/>
  <c r="R22" i="3"/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<sst xmlns="http://schemas.openxmlformats.org/spreadsheetml/2006/main" count="447" uniqueCount="236">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</sst>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  <xf numFmtId="0" fontId="0" fillId="0" borderId="2" xfId="0" applyFill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7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3" workbookViewId="0">
      <selection activeCell="D5" sqref="D5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29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13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15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19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13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18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26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9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13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17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17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16" zoomScale="85" zoomScaleNormal="85" workbookViewId="0">
      <selection activeCell="K39" sqref="K39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>
        <v>35</v>
      </c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>Parel in het Groen (PITG)</v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>Met B en B</v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11</v>
      </c>
      <c r="H22" s="12">
        <v>12</v>
      </c>
      <c r="I22" s="12">
        <v>2</v>
      </c>
      <c r="J22" s="12">
        <v>37</v>
      </c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>Water</v>
      </c>
      <c r="S22" s="12" t="str">
        <f>IFERROR(VLOOKUP(I22,categorieen!$D:$E,2,FALSE),"")</f>
        <v>(stand)beeld / (Rijks)monument</v>
      </c>
      <c r="T22" s="12" t="str">
        <f>IFERROR(VLOOKUP(J22,categorieen!$D:$E,2,FALSE),"")</f>
        <v>s Hertogenbosch (DB)</v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>
        <v>2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Zes letters</v>
      </c>
      <c r="P30" s="12" t="str">
        <f>IFERROR(VLOOKUP(F30,categorieen!$D:$E,2,FALSE),"")</f>
        <v>Bekende Brabanders</v>
      </c>
      <c r="Q30" s="12" t="str">
        <f>IFERROR(VLOOKUP(G30,categorieen!$D:$E,2,FALSE),"")</f>
        <v>Met dubbel s</v>
      </c>
      <c r="R30" s="12" t="str">
        <f>IFERROR(VLOOKUP(H30,categorieen!$D:$E,2,FALSE),"")</f>
        <v>(stand)beeld / (Rijks)monument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Begint met een B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/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33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>
        <v>16</v>
      </c>
      <c r="L35" s="12"/>
      <c r="M35" s="12" t="str">
        <f>IFERROR(VLOOKUP(C35,categorieen!$D:$E,2,FALSE),"")</f>
        <v>076 (Breda)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>Water</v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Eindigt op el</v>
      </c>
      <c r="P36" s="12" t="str">
        <f>IFERROR(VLOOKUP(F36,categorieen!$D:$E,2,FALSE),"")</f>
        <v>3x dezelfde letter</v>
      </c>
      <c r="Q36" s="12" t="str">
        <f>IFERROR(VLOOKUP(G36,categorieen!$D:$E,2,FALSE),"")</f>
        <v>Festival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>
        <v>19</v>
      </c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>Natuur</v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>Eten en Drinken (ED)</v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>(stand)beeld / (Rijks)monument</v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>
        <v>2</v>
      </c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>(stand)beeld / (Rijks)monument</v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>
        <v>27</v>
      </c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>Eten en Drinken (ED)</v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/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>
        <v>21</v>
      </c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>West Brabant</v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>
        <v>12</v>
      </c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>Water</v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>(stand)beeld / (Rijks)monument</v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>
        <v>40</v>
      </c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>Typisch Brabants (TB)</v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F114" s="24">
        <v>7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>Alaaf</v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21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West Brabant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>Kasteel</v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C15" sqref="C15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4.28515625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20.42578125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13</v>
      </c>
      <c r="C1" s="21">
        <v>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Met dubbel T</v>
      </c>
      <c r="C2" s="21" t="str">
        <f>VLOOKUP(C1,categorieen!$A:$B,2,FALSE)</f>
        <v>(stand)beeld / (Rijks)monument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De Zotte Mulders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Ihattaren</v>
      </c>
      <c r="B4" s="22"/>
      <c r="C4" s="22" t="str">
        <f ca="1"/>
        <v>Borghs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Leest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Lunetten</v>
      </c>
      <c r="B5" s="22"/>
      <c r="C5" s="22" t="str">
        <f ca="1"/>
        <v>Borstbeeld Asselbergs (BA)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3 van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Moerputten</v>
      </c>
      <c r="B6" s="22"/>
      <c r="C6" s="22" t="str">
        <f ca="1"/>
        <v>Bouvigne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Eeendracht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Sint Juttemis</v>
      </c>
      <c r="B7" s="22"/>
      <c r="C7" s="22" t="str">
        <f ca="1"/>
        <v>Chassé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De Paarse Heide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Witte Dame</v>
      </c>
      <c r="B8" s="22"/>
      <c r="C8" s="22" t="str">
        <f ca="1"/>
        <v>De Blauwe Camer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De Pelikaan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Zittend Meisje</v>
      </c>
      <c r="B9" s="22"/>
      <c r="C9" s="22" t="str">
        <f ca="1"/>
        <v>De Koepel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Noenes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De 2 Gebroeders</v>
      </c>
      <c r="AP9" s="22"/>
      <c r="AQ9" s="22" t="str">
        <f ca="1"/>
        <v>Bram Braam</v>
      </c>
      <c r="AR9" s="22"/>
    </row>
    <row r="10" spans="1:44" x14ac:dyDescent="0.25">
      <c r="A10" s="22">
        <f ca="1"/>
        <v>0</v>
      </c>
      <c r="B10" s="22"/>
      <c r="C10" s="22" t="str">
        <f ca="1"/>
        <v>De Korenbloem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>
        <f ca="1"/>
        <v>0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Noordhoek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Heimolen</v>
      </c>
      <c r="AP10" s="22"/>
      <c r="AQ10" s="22" t="str">
        <f ca="1"/>
        <v>Cartierheide</v>
      </c>
      <c r="AR10" s="22"/>
    </row>
    <row r="11" spans="1:44" x14ac:dyDescent="0.25">
      <c r="A11" s="22">
        <f ca="1"/>
        <v>0</v>
      </c>
      <c r="B11" s="22"/>
      <c r="C11" s="22" t="str">
        <f ca="1"/>
        <v>De Laat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t Zand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Lies</v>
      </c>
      <c r="AP11" s="22"/>
      <c r="AQ11" s="22" t="str">
        <f ca="1"/>
        <v>De Blauwe Camer</v>
      </c>
      <c r="AR11" s="22"/>
    </row>
    <row r="12" spans="1:44" x14ac:dyDescent="0.25">
      <c r="A12" s="22">
        <f ca="1"/>
        <v>0</v>
      </c>
      <c r="B12" s="22"/>
      <c r="C12" s="22" t="str">
        <f ca="1"/>
        <v>De 2 Gebroeders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Vijfhuizen</v>
      </c>
      <c r="AD12" s="22"/>
      <c r="AE12" s="22" t="str">
        <f ca="1"/>
        <v>Vijfhuizen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 t="str">
        <f ca="1"/>
        <v>Nieuw Vossemeer</v>
      </c>
      <c r="AP12" s="22"/>
      <c r="AQ12" s="22" t="str">
        <f ca="1"/>
        <v>De Brand (herberg)</v>
      </c>
      <c r="AR12" s="22"/>
    </row>
    <row r="13" spans="1:44" x14ac:dyDescent="0.25">
      <c r="A13" s="22">
        <f ca="1"/>
        <v>0</v>
      </c>
      <c r="B13" s="22"/>
      <c r="C13" s="22" t="str">
        <f ca="1"/>
        <v>De Zwaan 1623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 t="str">
        <f ca="1"/>
        <v>7ende Hemel</v>
      </c>
      <c r="AD13" s="22"/>
      <c r="AE13" s="22" t="str">
        <f ca="1"/>
        <v>Winkel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Roze Maandag</v>
      </c>
      <c r="AN13" s="22"/>
      <c r="AO13" s="22" t="str">
        <f ca="1"/>
        <v>Noordhoek</v>
      </c>
      <c r="AP13" s="22"/>
      <c r="AQ13" s="22" t="str">
        <f ca="1"/>
        <v>De Eeendracht</v>
      </c>
      <c r="AR13" s="22"/>
    </row>
    <row r="14" spans="1:44" x14ac:dyDescent="0.25">
      <c r="A14" s="22">
        <f ca="1"/>
        <v>0</v>
      </c>
      <c r="B14" s="22"/>
      <c r="C14" s="22" t="str">
        <f ca="1"/>
        <v>Drakenfontein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Strontrapers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Wilhelminapark (WP)</v>
      </c>
      <c r="AN14" s="22"/>
      <c r="AO14" s="22" t="str">
        <f ca="1"/>
        <v>Papzakken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Evoluon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 t="str">
        <f ca="1"/>
        <v>t Kruiken(plein)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 t="str">
        <f ca="1"/>
        <v>Wintelre</v>
      </c>
      <c r="AN15" s="22"/>
      <c r="AO15" s="22" t="str">
        <f ca="1"/>
        <v>Ripasso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Frits Philips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Vijfhuizen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St. Willebrord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Heeswijk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Wilhelminapark (WP)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 t="str">
        <f ca="1"/>
        <v>t Zand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Helmond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 t="str">
        <f ca="1"/>
        <v>Piet de Visser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 t="str">
        <f ca="1"/>
        <v>Westpoint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Kruikezeiker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 t="str">
        <f ca="1"/>
        <v>Sint Agatha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 t="str">
        <f ca="1"/>
        <v>Wilhelminapark (WP)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KVL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 t="str">
        <f ca="1"/>
        <v>t Blauwe Meer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 t="str">
        <f ca="1"/>
        <v>Wouw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Lunetten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 t="str">
        <f ca="1"/>
        <v>t Zand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Lunetten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Maurick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 t="str">
        <f ca="1"/>
        <v>Nemerlaer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 t="str">
        <f ca="1"/>
        <v>Sint Jan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 t="str">
        <f ca="1"/>
        <v>Sint Joris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 t="str">
        <f ca="1"/>
        <v>Sint Juttemis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 t="str">
        <f ca="1"/>
        <v>Van Roessel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 t="str">
        <f ca="1"/>
        <v>Wim van Est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 t="str">
        <f ca="1"/>
        <v>Witte Dame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 t="str">
        <f ca="1"/>
        <v>Zittend Meisje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Beerze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Heuvel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Koepel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De Paarse Heide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Elastiek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Brand (herberg)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Lies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Lieve Lente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Pelikaan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Lunetten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Zwaan 1623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NAC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Elastiek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Ploegersland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Petrus en Paulus (PP)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Heeswijk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Joris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Sint Juttemis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Van Geel</v>
      </c>
      <c r="R63" s="22"/>
      <c r="S63" s="22">
        <f ca="1"/>
        <v>0</v>
      </c>
      <c r="T63" s="22"/>
      <c r="U63" s="22" t="str">
        <f ca="1"/>
        <v>Wilhelminapark (WP)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Stinsel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Geel</v>
      </c>
      <c r="AF65" s="22"/>
      <c r="AG65" s="22">
        <f ca="1"/>
        <v>0</v>
      </c>
      <c r="AH65" s="22"/>
      <c r="AI65" s="22" t="str">
        <f ca="1"/>
        <v>Strontrapers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Maurick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Van Roessel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Roessel</v>
      </c>
      <c r="AF66" s="22"/>
      <c r="AG66" s="22">
        <f ca="1"/>
        <v>0</v>
      </c>
      <c r="AH66" s="22"/>
      <c r="AI66" s="22" t="str">
        <f ca="1"/>
        <v>t Kruiken(plein)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Nooit Gedacht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Wim van Est</v>
      </c>
      <c r="AF67" s="22"/>
      <c r="AG67" s="22">
        <f ca="1"/>
        <v>0</v>
      </c>
      <c r="AH67" s="22"/>
      <c r="AI67" s="22" t="str">
        <f ca="1"/>
        <v>Worstenbroodje (WB)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Pand P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Ripasso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Schrobbelèr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Sint Joris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t Kruiken(plein)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Van Roessel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Venkraai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 t="str">
        <f ca="1"/>
        <v>Worstenbroodje (WB)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 t="str">
        <f ca="1"/>
        <v>7ende Hemel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Borghs</v>
      </c>
    </row>
    <row r="5" spans="1:4" x14ac:dyDescent="0.25">
      <c r="A5" t="str">
        <f ca="1"/>
        <v>Liessel</v>
      </c>
      <c r="D5" t="str">
        <f ca="1"/>
        <v>Borstbeeld Asselbergs (BA)</v>
      </c>
    </row>
    <row r="6" spans="1:4" x14ac:dyDescent="0.25">
      <c r="A6" t="str">
        <f ca="1"/>
        <v>Nuenen</v>
      </c>
      <c r="D6" t="str">
        <f ca="1"/>
        <v>Bouvigne</v>
      </c>
    </row>
    <row r="7" spans="1:4" x14ac:dyDescent="0.25">
      <c r="A7" t="str">
        <f ca="1"/>
        <v>Paaspop</v>
      </c>
      <c r="D7" t="str">
        <f ca="1"/>
        <v>Chassé</v>
      </c>
    </row>
    <row r="8" spans="1:4" x14ac:dyDescent="0.25">
      <c r="A8" t="str">
        <f ca="1"/>
        <v>Pand P</v>
      </c>
      <c r="D8" t="str">
        <f ca="1"/>
        <v>De Blauwe Camer</v>
      </c>
    </row>
    <row r="9" spans="1:4" x14ac:dyDescent="0.25">
      <c r="A9" t="str">
        <f ca="1"/>
        <v>Paperclip</v>
      </c>
      <c r="D9" t="str">
        <f ca="1"/>
        <v>De Koepel</v>
      </c>
    </row>
    <row r="10" spans="1:4" x14ac:dyDescent="0.25">
      <c r="A10" t="str">
        <f ca="1"/>
        <v>Sint Anthonis</v>
      </c>
      <c r="D10" t="str">
        <f ca="1"/>
        <v>De Korenbloem</v>
      </c>
    </row>
    <row r="11" spans="1:4" x14ac:dyDescent="0.25">
      <c r="A11" t="str">
        <f ca="1"/>
        <v>Sint Joris</v>
      </c>
      <c r="D11" t="str">
        <f ca="1"/>
        <v>De Laat</v>
      </c>
    </row>
    <row r="12" spans="1:4" x14ac:dyDescent="0.25">
      <c r="A12" t="str">
        <f ca="1"/>
        <v>Sint Juttemis</v>
      </c>
      <c r="D12" t="str">
        <f ca="1"/>
        <v>De 2 Gebroeders</v>
      </c>
    </row>
    <row r="13" spans="1:4" x14ac:dyDescent="0.25">
      <c r="A13" t="str">
        <f ca="1"/>
        <v>Snuifscheppers (SFS)</v>
      </c>
      <c r="D13" t="str">
        <f ca="1"/>
        <v>De Zwaan 1623</v>
      </c>
    </row>
    <row r="14" spans="1:4" x14ac:dyDescent="0.25">
      <c r="A14" t="str">
        <f ca="1"/>
        <v>Strontrapers</v>
      </c>
      <c r="D14" t="str">
        <f ca="1"/>
        <v>Drakenfontein</v>
      </c>
    </row>
    <row r="15" spans="1:4" x14ac:dyDescent="0.25">
      <c r="A15" t="str">
        <f ca="1"/>
        <v>Wouw</v>
      </c>
      <c r="D15" t="str">
        <f ca="1"/>
        <v>Evoluon</v>
      </c>
    </row>
    <row r="16" spans="1:4" x14ac:dyDescent="0.25">
      <c r="A16">
        <f ca="1"/>
        <v>0</v>
      </c>
      <c r="D16" t="str">
        <f ca="1"/>
        <v>Frits Philips</v>
      </c>
    </row>
    <row r="17" spans="1:4" x14ac:dyDescent="0.25">
      <c r="A17">
        <f ca="1"/>
        <v>0</v>
      </c>
      <c r="D17" t="str">
        <f ca="1"/>
        <v>Heeswijk</v>
      </c>
    </row>
    <row r="18" spans="1:4" x14ac:dyDescent="0.25">
      <c r="A18">
        <f ca="1"/>
        <v>0</v>
      </c>
      <c r="D18" t="str">
        <f ca="1"/>
        <v>Helmond</v>
      </c>
    </row>
    <row r="19" spans="1:4" x14ac:dyDescent="0.25">
      <c r="A19">
        <f ca="1"/>
        <v>0</v>
      </c>
      <c r="D19" t="str">
        <f ca="1"/>
        <v>Kruikezeiker</v>
      </c>
    </row>
    <row r="20" spans="1:4" x14ac:dyDescent="0.25">
      <c r="A20">
        <f ca="1"/>
        <v>0</v>
      </c>
      <c r="D20" t="str">
        <f ca="1"/>
        <v>KVL</v>
      </c>
    </row>
    <row r="21" spans="1:4" x14ac:dyDescent="0.25">
      <c r="A21">
        <f ca="1"/>
        <v>0</v>
      </c>
      <c r="D21" t="str">
        <f ca="1"/>
        <v>Lunetten</v>
      </c>
    </row>
    <row r="22" spans="1:4" x14ac:dyDescent="0.25">
      <c r="A22">
        <f ca="1"/>
        <v>0</v>
      </c>
      <c r="D22" t="str">
        <f ca="1"/>
        <v>Lunetten</v>
      </c>
    </row>
    <row r="23" spans="1:4" x14ac:dyDescent="0.25">
      <c r="A23">
        <f ca="1"/>
        <v>0</v>
      </c>
      <c r="D23" t="str">
        <f ca="1"/>
        <v>Maurick</v>
      </c>
    </row>
    <row r="24" spans="1:4" x14ac:dyDescent="0.25">
      <c r="A24">
        <f ca="1"/>
        <v>0</v>
      </c>
      <c r="D24" t="str">
        <f ca="1"/>
        <v>Nemerlaer</v>
      </c>
    </row>
    <row r="25" spans="1:4" x14ac:dyDescent="0.25">
      <c r="A25">
        <f ca="1"/>
        <v>0</v>
      </c>
      <c r="D25" t="str">
        <f ca="1"/>
        <v>Sint Jan</v>
      </c>
    </row>
    <row r="26" spans="1:4" x14ac:dyDescent="0.25">
      <c r="A26">
        <f ca="1"/>
        <v>0</v>
      </c>
      <c r="D26" t="str">
        <f ca="1"/>
        <v>Sint Joris</v>
      </c>
    </row>
    <row r="27" spans="1:4" x14ac:dyDescent="0.25">
      <c r="A27">
        <f ca="1"/>
        <v>0</v>
      </c>
      <c r="D27" t="str">
        <f ca="1"/>
        <v>Sint Juttemis</v>
      </c>
    </row>
    <row r="28" spans="1:4" x14ac:dyDescent="0.25">
      <c r="A28">
        <f ca="1"/>
        <v>0</v>
      </c>
      <c r="D28" t="str">
        <f ca="1"/>
        <v>Van Roessel</v>
      </c>
    </row>
    <row r="29" spans="1:4" x14ac:dyDescent="0.25">
      <c r="A29">
        <f ca="1"/>
        <v>0</v>
      </c>
      <c r="D29" t="str">
        <f ca="1"/>
        <v>Wim van Est</v>
      </c>
    </row>
    <row r="30" spans="1:4" x14ac:dyDescent="0.25">
      <c r="A30">
        <f ca="1"/>
        <v>0</v>
      </c>
      <c r="D30" t="str">
        <f ca="1"/>
        <v>Witte Dame</v>
      </c>
    </row>
    <row r="31" spans="1:4" x14ac:dyDescent="0.25">
      <c r="A31">
        <f ca="1"/>
        <v>0</v>
      </c>
      <c r="D31" t="str">
        <f ca="1"/>
        <v>Zittend Meisje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D17" sqref="D17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7</v>
      </c>
      <c r="C2">
        <v>40</v>
      </c>
    </row>
    <row r="4" spans="1:3" x14ac:dyDescent="0.25">
      <c r="A4" t="str" cm="1">
        <f t="array" ref="A4">INDEX(Antwoorden!$M$2:$T$133,'Per antwoord'!A2,1)</f>
        <v>Getal/Cijfer</v>
      </c>
      <c r="C4" t="str" cm="1">
        <f t="array" ref="C4">INDEX(Antwoorden!$M$2:$T$133,'Per antwoord'!C2,1)</f>
        <v>076 (Breda)</v>
      </c>
    </row>
    <row r="5" spans="1:3" x14ac:dyDescent="0.25">
      <c r="A5" t="str" cm="1">
        <f t="array" ref="A5">INDEX(Antwoorden!$M$2:$T$133,'Per antwoord'!A2,2)</f>
        <v>s Hertogenbosch (DB)</v>
      </c>
      <c r="C5" t="str" cm="1">
        <f t="array" ref="C5">INDEX(Antwoorden!$M$2:$T$133,'Per antwoord'!C2,2)</f>
        <v>West Brabant</v>
      </c>
    </row>
    <row r="6" spans="1:3" x14ac:dyDescent="0.25">
      <c r="A6" t="str" cm="1">
        <f t="array" ref="A6">INDEX(Antwoorden!$M$2:$T$133,'Per antwoord'!A2,3)</f>
        <v>040 (Eindhoven)</v>
      </c>
      <c r="C6" t="str" cm="1">
        <f t="array" ref="C6">INDEX(Antwoorden!$M$2:$T$133,'Per antwoord'!C2,3)</f>
        <v>Natuur</v>
      </c>
    </row>
    <row r="7" spans="1:3" x14ac:dyDescent="0.25">
      <c r="A7" t="str" cm="1">
        <f t="array" ref="A7">INDEX(Antwoorden!$M$2:$T$133,'Per antwoord'!A2,4)</f>
        <v>Vught</v>
      </c>
      <c r="C7" t="str" cm="1">
        <f t="array" ref="C7">INDEX(Antwoorden!$M$2:$T$133,'Per antwoord'!C2,4)</f>
        <v>Typisch Brabants (TB)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Kleurrijk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2020-12-31T21:05:18Z</dcterms:modified>
</cp:coreProperties>
</file>