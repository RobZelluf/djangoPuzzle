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E653CCF2-01A7-4BF5-8D78-AD8AB9A8A762}" xr6:coauthVersionLast="45" xr6:coauthVersionMax="45" xr10:uidLastSave="{00000000-0000-0000-0000-000000000000}"/>
  <bookViews>
    <workbookView xWindow="285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6" l="1"/>
  <c r="P73" i="3"/>
  <c r="P45" i="3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D3" i="10" a="1"/>
  <c r="A3" i="10" a="1"/>
  <c r="A51" i="6" a="1"/>
  <c r="AM3" i="6" a="1"/>
  <c r="U3" i="6" a="1"/>
  <c r="AC51" i="6" a="1"/>
  <c r="AI51" i="6" a="1"/>
  <c r="G3" i="6" a="1"/>
  <c r="AA51" i="6" a="1"/>
  <c r="M51" i="6" a="1"/>
  <c r="E3" i="6" a="1"/>
  <c r="AE51" i="6" a="1"/>
  <c r="I51" i="6" a="1"/>
  <c r="Y3" i="6" a="1"/>
  <c r="S51" i="6" a="1"/>
  <c r="O51" i="6" a="1"/>
  <c r="G51" i="6" a="1"/>
  <c r="K51" i="6" a="1"/>
  <c r="AO51" i="6" a="1"/>
  <c r="AI3" i="6" a="1"/>
  <c r="AG3" i="6" a="1"/>
  <c r="S3" i="6" a="1"/>
  <c r="W3" i="6" a="1"/>
  <c r="AA3" i="6" a="1"/>
  <c r="K3" i="6" a="1"/>
  <c r="AG51" i="6" a="1"/>
  <c r="W51" i="6" a="1"/>
  <c r="U51" i="6" a="1"/>
  <c r="E51" i="6" a="1"/>
  <c r="AC3" i="6" a="1"/>
  <c r="AE3" i="6" a="1"/>
  <c r="AM51" i="6" a="1"/>
  <c r="AQ3" i="6" a="1"/>
  <c r="AO3" i="6" a="1"/>
  <c r="M3" i="6" a="1"/>
  <c r="O3" i="6" a="1"/>
  <c r="AK51" i="6" a="1"/>
  <c r="I3" i="6" a="1"/>
  <c r="Q3" i="6" a="1"/>
  <c r="C51" i="6" a="1"/>
  <c r="AK3" i="6" a="1"/>
  <c r="Y51" i="6" a="1"/>
  <c r="Q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P119" i="3" l="1"/>
  <c r="O111" i="3"/>
  <c r="P87" i="3"/>
  <c r="O47" i="3"/>
  <c r="P31" i="3"/>
  <c r="O22" i="3"/>
  <c r="Q13" i="3" l="1"/>
  <c r="Q12" i="3"/>
  <c r="P12" i="3"/>
  <c r="O12" i="3"/>
  <c r="T133" i="8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O102" i="3"/>
  <c r="A3" i="6" a="1"/>
  <c r="C3" i="6" a="1"/>
  <c r="C3" i="6" l="1"/>
  <c r="A3" i="6"/>
  <c r="P48" i="3"/>
  <c r="N25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O48" i="3"/>
  <c r="N48" i="3"/>
  <c r="M48" i="3"/>
  <c r="T47" i="3"/>
  <c r="S47" i="3"/>
  <c r="R47" i="3"/>
  <c r="Q47" i="3"/>
  <c r="P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P13" i="3"/>
  <c r="O13" i="3"/>
  <c r="N13" i="3"/>
  <c r="M13" i="3"/>
  <c r="T12" i="3"/>
  <c r="S12" i="3"/>
  <c r="R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C10" i="9" s="1" a="1"/>
  <c r="C10" i="9" s="1"/>
  <c r="R7" i="3"/>
  <c r="C9" i="9" s="1" a="1"/>
  <c r="C9" i="9" s="1"/>
  <c r="Q7" i="3"/>
  <c r="C8" i="9" s="1" a="1"/>
  <c r="C8" i="9" s="1"/>
  <c r="P7" i="3"/>
  <c r="C7" i="9" s="1" a="1"/>
  <c r="C7" i="9" s="1"/>
  <c r="O7" i="3"/>
  <c r="C6" i="9" s="1" a="1"/>
  <c r="C6" i="9" s="1"/>
  <c r="N7" i="3"/>
  <c r="C5" i="9" s="1" a="1"/>
  <c r="C5" i="9" s="1"/>
  <c r="M7" i="3"/>
  <c r="C4" i="9" s="1" a="1"/>
  <c r="C4" i="9" s="1"/>
  <c r="T6" i="3"/>
  <c r="S6" i="3"/>
  <c r="A10" i="9" s="1" a="1"/>
  <c r="A10" i="9" s="1"/>
  <c r="R6" i="3"/>
  <c r="A9" i="9" s="1" a="1"/>
  <c r="A9" i="9" s="1"/>
  <c r="Q6" i="3"/>
  <c r="A8" i="9" s="1" a="1"/>
  <c r="A8" i="9" s="1"/>
  <c r="P6" i="3"/>
  <c r="A7" i="9" s="1" a="1"/>
  <c r="A7" i="9" s="1"/>
  <c r="O6" i="3"/>
  <c r="A6" i="9" s="1" a="1"/>
  <c r="A6" i="9" s="1"/>
  <c r="N6" i="3"/>
  <c r="A5" i="9" s="1" a="1"/>
  <c r="A5" i="9" s="1"/>
  <c r="M6" i="3"/>
  <c r="A4" i="9" s="1" a="1"/>
  <c r="A4" i="9" s="1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S2" i="3"/>
  <c r="R2" i="3"/>
  <c r="Q2" i="3"/>
  <c r="P2" i="3"/>
  <c r="O2" i="3"/>
  <c r="N2" i="3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<sst xmlns="http://schemas.openxmlformats.org/spreadsheetml/2006/main" count="446" uniqueCount="234">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</sst>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6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r>
            <a:rPr lang="nl-NL"/>
            <a:t>De Laat</a:t>
          </a:r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r>
            <a:rPr lang="nl-NL" b="1"/>
            <a:t>Biesbosch</a:t>
          </a:r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endParaRPr lang="nl-NL" b="1"/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4" zoomScale="70" zoomScaleNormal="70" workbookViewId="0">
      <selection activeCell="J5" sqref="J5:AH83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I21" sqref="I21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9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13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11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9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10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40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21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9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6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28" zoomScale="85" zoomScaleNormal="85" workbookViewId="0">
      <selection activeCell="G50" sqref="G5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/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/>
      <c r="F12" s="12"/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/>
      </c>
      <c r="P12" s="12" t="str">
        <f>IFERROR(VLOOKUP(F12,categorieen!$D:$E,2,FALSE),"")</f>
        <v/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/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/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/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/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/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/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/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/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/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1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/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/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/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/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/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/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/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/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/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/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/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/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/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/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/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/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/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8</v>
      </c>
      <c r="G88" s="12">
        <v>4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040 (Eindhoven)</v>
      </c>
      <c r="Q88" s="12" t="str">
        <f>IFERROR(VLOOKUP(G88,categorieen!$D:$E,2,FALSE),"")</f>
        <v>Zes letters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/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/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/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/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/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/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/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/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/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/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/>
      <c r="F103" s="12"/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/>
      </c>
      <c r="P103" s="12" t="str">
        <f>IFERROR(VLOOKUP(F103,categorieen!$D:$E,2,FALSE),"")</f>
        <v/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/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/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/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/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7</v>
      </c>
      <c r="E114" s="12">
        <v>30</v>
      </c>
      <c r="F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Alaaf</v>
      </c>
      <c r="O114" s="12" t="str">
        <f>IFERROR(VLOOKUP(E114,categorieen!$D:$E,2,FALSE),"")</f>
        <v>In de volksmond (IDV)</v>
      </c>
      <c r="P114" s="12" t="str">
        <f>IFERROR(VLOOKUP(F114,categorieen!$D:$E,2,FALSE),"")</f>
        <v>Typisch Brabants (TB)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/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/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/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/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8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040 (Eindhoven)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11" t="s">
        <v>174</v>
      </c>
      <c r="B129" s="12"/>
      <c r="C129" s="11">
        <v>2</v>
      </c>
      <c r="D129" s="11">
        <v>13</v>
      </c>
      <c r="E129" s="12"/>
      <c r="F129" s="12"/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/>
      </c>
      <c r="P129" s="12" t="str">
        <f>IFERROR(VLOOKUP(F129,categorieen!$D:$E,2,FALSE),"")</f>
        <v/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>
        <v>22</v>
      </c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>3x dezelfde letter</v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" right="0.7" top="0.75" bottom="0.75" header="0.3" footer="0.3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A2" sqref="A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38</v>
      </c>
      <c r="C1" s="21">
        <v>2</v>
      </c>
      <c r="E1" s="21">
        <v>33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Sport</v>
      </c>
      <c r="C2" s="21" t="str">
        <f>VLOOKUP(C1,categorieen!$A:$B,2,FALSE)</f>
        <v>(stand)beeld / (Rijks)monument</v>
      </c>
      <c r="E2" s="21" t="str">
        <f>VLOOKUP(E1,categorieen!$A:$B,2,FALSE)</f>
        <v>076 (Breda)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Biestse Boulers</v>
      </c>
      <c r="B3" s="22"/>
      <c r="C3" s="22" t="str" cm="1">
        <f t="array" aca="1" ref="C3:C47" ca="1">TRANSPOSE(Lijstjemaken(C1))</f>
        <v>Assumburg</v>
      </c>
      <c r="D3" s="22"/>
      <c r="E3" s="22" t="str" cm="1">
        <f t="array" aca="1" ref="E3:E47" ca="1">TRANSPOSE(Lijstjemaken(E1))</f>
        <v>Bouvigne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Bergen op Zoom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Borghs</v>
      </c>
      <c r="B4" s="22"/>
      <c r="C4" s="22" t="str">
        <f ca="1"/>
        <v>Borstbeeld Asselbergs (BA)</v>
      </c>
      <c r="D4" s="22"/>
      <c r="E4" s="22" t="str">
        <f ca="1"/>
        <v>Chassé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Bram Braam</v>
      </c>
      <c r="V4" s="22"/>
      <c r="W4" s="22" t="str">
        <f ca="1"/>
        <v>Bergsche Maas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Elastiek</v>
      </c>
      <c r="AN4" s="22"/>
      <c r="AO4" s="22" t="str">
        <f ca="1"/>
        <v>Chassé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Bram Braam</v>
      </c>
      <c r="B5" s="22"/>
      <c r="C5" s="22" t="str">
        <f ca="1"/>
        <v>Bouvigne</v>
      </c>
      <c r="D5" s="22"/>
      <c r="E5" s="22" t="str">
        <f ca="1"/>
        <v>De 3 van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Broekhoven</v>
      </c>
      <c r="V5" s="22"/>
      <c r="W5" s="22" t="str">
        <f ca="1"/>
        <v>Binnen Dieze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Glow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Bud Brocken</v>
      </c>
      <c r="B6" s="22"/>
      <c r="C6" s="22" t="str">
        <f ca="1"/>
        <v>De Blauwe Camer</v>
      </c>
      <c r="D6" s="22"/>
      <c r="E6" s="22" t="str">
        <f ca="1"/>
        <v>De Koepel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Bud Brocken</v>
      </c>
      <c r="V6" s="22"/>
      <c r="W6" s="22" t="str">
        <f ca="1"/>
        <v>Borghs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2 Gebroeders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Halve Zolen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Donders</v>
      </c>
      <c r="B7" s="22"/>
      <c r="C7" s="22" t="str">
        <f ca="1"/>
        <v>De Koepel</v>
      </c>
      <c r="D7" s="22"/>
      <c r="E7" s="22" t="str">
        <f ca="1"/>
        <v>De Paarse Heide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De Heuvel</v>
      </c>
      <c r="V7" s="22"/>
      <c r="W7" s="22" t="str">
        <f ca="1"/>
        <v>Cartierheide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Twee Pinten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Intents</v>
      </c>
      <c r="AN7" s="22"/>
      <c r="AO7" s="22" t="str">
        <f ca="1"/>
        <v>De Koepel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Ihattaren</v>
      </c>
      <c r="B8" s="22"/>
      <c r="C8" s="22" t="str">
        <f ca="1"/>
        <v>De Korenbloem</v>
      </c>
      <c r="D8" s="22"/>
      <c r="E8" s="22" t="str">
        <f ca="1"/>
        <v>Lies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Kruikezeiker</v>
      </c>
      <c r="V8" s="22"/>
      <c r="W8" s="22" t="str">
        <f ca="1"/>
        <v>De Eeendracht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Zwaan 1623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KVL</v>
      </c>
      <c r="AN8" s="22"/>
      <c r="AO8" s="22" t="str">
        <f ca="1"/>
        <v>De Paarse Heide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Joris Mathijsen (JM)</v>
      </c>
      <c r="B9" s="22"/>
      <c r="C9" s="22" t="str">
        <f ca="1"/>
        <v>De Laat</v>
      </c>
      <c r="D9" s="22"/>
      <c r="E9" s="22" t="str">
        <f ca="1"/>
        <v>NAC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Petrus en Paulus (PP)</v>
      </c>
      <c r="V9" s="22"/>
      <c r="W9" s="22" t="str">
        <f ca="1"/>
        <v>Ijzeren man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Halve Zolen</v>
      </c>
      <c r="AD9" s="22"/>
      <c r="AE9" s="22" t="str">
        <f ca="1"/>
        <v>Noenes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Paaspop</v>
      </c>
      <c r="AN9" s="22"/>
      <c r="AO9" s="22" t="str">
        <f ca="1"/>
        <v>De Pelikaan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Michael van Gerwen</v>
      </c>
      <c r="B10" s="22"/>
      <c r="C10" s="22" t="str">
        <f ca="1"/>
        <v>De 2 Gebroeders</v>
      </c>
      <c r="D10" s="22"/>
      <c r="E10" s="22" t="str">
        <f ca="1"/>
        <v>Sint Joris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(plein) 1969</v>
      </c>
      <c r="R10" s="22"/>
      <c r="S10" s="22">
        <f ca="1"/>
        <v>0</v>
      </c>
      <c r="T10" s="22"/>
      <c r="U10" s="22" t="str">
        <f ca="1"/>
        <v>Roze Maandag</v>
      </c>
      <c r="V10" s="22"/>
      <c r="W10" s="22" t="str">
        <f ca="1"/>
        <v>Moerputten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Paperclip</v>
      </c>
      <c r="AN10" s="22"/>
      <c r="AO10" s="22" t="str">
        <f ca="1"/>
        <v>De 2 Gebroeders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NAC</v>
      </c>
      <c r="B11" s="22"/>
      <c r="C11" s="22" t="str">
        <f ca="1"/>
        <v>De Zwaan 1623</v>
      </c>
      <c r="D11" s="22"/>
      <c r="E11" s="22" t="str">
        <f ca="1"/>
        <v>Sint Juttemis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Wilhelminapark (WP)</v>
      </c>
      <c r="R11" s="22"/>
      <c r="S11" s="22">
        <f ca="1"/>
        <v>0</v>
      </c>
      <c r="T11" s="22"/>
      <c r="U11" s="22" t="str">
        <f ca="1"/>
        <v>Schrobbelèr</v>
      </c>
      <c r="V11" s="22"/>
      <c r="W11" s="22" t="str">
        <f ca="1"/>
        <v>Oosterplas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Roze Maandag</v>
      </c>
      <c r="AN11" s="22"/>
      <c r="AO11" s="22" t="str">
        <f ca="1"/>
        <v>Heimolen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Nooit Gedacht</v>
      </c>
      <c r="B12" s="22"/>
      <c r="C12" s="22" t="str">
        <f ca="1"/>
        <v>Drakenfontein</v>
      </c>
      <c r="D12" s="22"/>
      <c r="E12" s="22" t="str">
        <f ca="1"/>
        <v>Wilhelminapark (WP)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t Kruiken(plein)</v>
      </c>
      <c r="V12" s="22"/>
      <c r="W12" s="22" t="str">
        <f ca="1"/>
        <v>t Blauwe Meer</v>
      </c>
      <c r="X12" s="22"/>
      <c r="Y12" s="22">
        <f ca="1"/>
        <v>0</v>
      </c>
      <c r="Z12" s="22"/>
      <c r="AA12" s="22">
        <f ca="1"/>
        <v>0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Wilhelminapark (WP)</v>
      </c>
      <c r="AN12" s="22"/>
      <c r="AO12" s="22" t="str">
        <f ca="1"/>
        <v>Lies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Piet de Visser</v>
      </c>
      <c r="B13" s="22"/>
      <c r="C13" s="22" t="str">
        <f ca="1"/>
        <v>Evoluon</v>
      </c>
      <c r="D13" s="22"/>
      <c r="E13" s="22">
        <f ca="1"/>
        <v>0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Vijfhuizen</v>
      </c>
      <c r="V13" s="22"/>
      <c r="W13" s="22" t="str">
        <f ca="1"/>
        <v>t Zand</v>
      </c>
      <c r="X13" s="22"/>
      <c r="Y13" s="22">
        <f ca="1"/>
        <v>0</v>
      </c>
      <c r="Z13" s="22"/>
      <c r="AA13" s="22">
        <f ca="1"/>
        <v>0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>
        <f ca="1"/>
        <v>0</v>
      </c>
      <c r="AN13" s="22"/>
      <c r="AO13" s="22" t="str">
        <f ca="1"/>
        <v>Nieuw Vossemeer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Roel van Hemert</v>
      </c>
      <c r="B14" s="22"/>
      <c r="C14" s="22" t="str">
        <f ca="1"/>
        <v>Frits Philips</v>
      </c>
      <c r="D14" s="22"/>
      <c r="E14" s="22">
        <f ca="1"/>
        <v>0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Nuenen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Westpoint</v>
      </c>
      <c r="V14" s="22"/>
      <c r="W14" s="22">
        <f ca="1"/>
        <v>0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Simon Tahamata</v>
      </c>
      <c r="B15" s="22"/>
      <c r="C15" s="22" t="str">
        <f ca="1"/>
        <v>Heeswijk</v>
      </c>
      <c r="D15" s="22"/>
      <c r="E15" s="22">
        <f ca="1"/>
        <v>0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Pand 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Wilhelminapark (WP)</v>
      </c>
      <c r="V15" s="22"/>
      <c r="W15" s="22">
        <f ca="1"/>
        <v>0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Van Geel</v>
      </c>
      <c r="B16" s="22"/>
      <c r="C16" s="22" t="str">
        <f ca="1"/>
        <v>Helmond</v>
      </c>
      <c r="D16" s="22"/>
      <c r="E16" s="22">
        <f ca="1"/>
        <v>0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>
        <f ca="1"/>
        <v>0</v>
      </c>
      <c r="V16" s="22"/>
      <c r="W16" s="22">
        <f ca="1"/>
        <v>0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Van Roessel</v>
      </c>
      <c r="B17" s="22"/>
      <c r="C17" s="22" t="str">
        <f ca="1"/>
        <v>Kampina</v>
      </c>
      <c r="D17" s="22"/>
      <c r="E17" s="22">
        <f ca="1"/>
        <v>0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>
        <f ca="1"/>
        <v>0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Wim van Est</v>
      </c>
      <c r="B18" s="22"/>
      <c r="C18" s="22" t="str">
        <f ca="1"/>
        <v>KVL</v>
      </c>
      <c r="D18" s="22"/>
      <c r="E18" s="22">
        <f ca="1"/>
        <v>0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Wintelre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>
        <f ca="1"/>
        <v>0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Maurick</v>
      </c>
      <c r="D19" s="22"/>
      <c r="E19" s="22">
        <f ca="1"/>
        <v>0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Nemerlaer</v>
      </c>
      <c r="D20" s="22"/>
      <c r="E20" s="22">
        <f ca="1"/>
        <v>0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Sint Jan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 t="str">
        <f ca="1"/>
        <v>Sint Joris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 t="str">
        <f ca="1"/>
        <v>Van Roessel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 t="str">
        <f ca="1"/>
        <v>Wim van Est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 t="str">
        <f ca="1"/>
        <v>Witte Dame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 t="str">
        <f ca="1"/>
        <v>Zittend Meisje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 t="str">
        <f ca="1"/>
        <v>Zittend Meisje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De Heuvel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Vrijthof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Houdoe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(plein) 1969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Kruikezeiker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t Kruiken(plein)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Papgat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NAC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>
        <f ca="1"/>
        <v>0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Papzakken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Sint Joris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>
        <f ca="1"/>
        <v>0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>
        <f ca="1"/>
        <v>0</v>
      </c>
      <c r="L59" s="22"/>
      <c r="M59" s="22" t="str">
        <f ca="1"/>
        <v>Sint Joris</v>
      </c>
      <c r="N59" s="22"/>
      <c r="O59" s="22" t="str">
        <f ca="1"/>
        <v>Ploegersland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Sint Juttemis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>
        <f ca="1"/>
        <v>0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Wilhelminapark (WP)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>
        <f ca="1"/>
        <v>0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In 't Groene Woud (GW)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>
        <f ca="1"/>
        <v>0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>
        <f ca="1"/>
        <v>0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Lieve Lente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Maurick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 t="str">
        <f ca="1"/>
        <v>Van Geel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Pand P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 t="str">
        <f ca="1"/>
        <v>Wim van Est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Ripasso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Schrobbelèr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Sint Joris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Van Roessel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Venkraai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Worstenbroodje (WB)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7ende Hemel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>
        <f ca="1"/>
        <v>0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D18" sqref="D18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Kampina</v>
      </c>
    </row>
    <row r="18" spans="1:4" x14ac:dyDescent="0.25">
      <c r="A18">
        <f ca="1"/>
        <v>0</v>
      </c>
      <c r="D18" t="str">
        <f ca="1"/>
        <v>KVL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3" sqref="C3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</v>
      </c>
      <c r="C2">
        <v>6</v>
      </c>
    </row>
    <row r="4" spans="1:3" x14ac:dyDescent="0.25">
      <c r="A4" t="str" cm="1">
        <f t="array" ref="A4">INDEX(Antwoorden!$M$2:$T$133,'Per antwoord'!A2,1)</f>
        <v>Buurtschap</v>
      </c>
      <c r="C4" t="str" cm="1">
        <f t="array" ref="C4">INDEX(Antwoorden!$M$2:$T$133,'Per antwoord'!C2,1)</f>
        <v>Met 4 Wieken</v>
      </c>
    </row>
    <row r="5" spans="1:3" x14ac:dyDescent="0.25">
      <c r="A5" t="str" cm="1">
        <f t="array" ref="A5">INDEX(Antwoorden!$M$2:$T$133,'Per antwoord'!A2,2)</f>
        <v>Dierlijk</v>
      </c>
      <c r="C5" t="str" cm="1">
        <f t="array" ref="C5">INDEX(Antwoorden!$M$2:$T$133,'Per antwoord'!C2,2)</f>
        <v>(stand)beeld / (Rijks)monument</v>
      </c>
    </row>
    <row r="6" spans="1:3" x14ac:dyDescent="0.25">
      <c r="A6" t="str" cm="1">
        <f t="array" ref="A6">INDEX(Antwoorden!$M$2:$T$133,'Per antwoord'!A2,3)</f>
        <v>Eten en Drinken (ED)</v>
      </c>
      <c r="C6" t="str" cm="1">
        <f t="array" ref="C6">INDEX(Antwoorden!$M$2:$T$133,'Per antwoord'!C2,3)</f>
        <v>Met dubbel s</v>
      </c>
    </row>
    <row r="7" spans="1:3" x14ac:dyDescent="0.25">
      <c r="A7" t="str" cm="1">
        <f t="array" ref="A7">INDEX(Antwoorden!$M$2:$T$133,'Per antwoord'!A2,4)</f>
        <v/>
      </c>
      <c r="C7" t="str" cm="1">
        <f t="array" ref="C7">INDEX(Antwoorden!$M$2:$T$133,'Per antwoord'!C2,4)</f>
        <v>Kasteel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2020-12-28T16:05:18Z</cp:lastPrinted>
  <dcterms:created xsi:type="dcterms:W3CDTF">2020-12-25T16:21:58Z</dcterms:created>
  <dcterms:modified xsi:type="dcterms:W3CDTF">2020-12-28T18:01:23Z</dcterms:modified>
</cp:coreProperties>
</file>