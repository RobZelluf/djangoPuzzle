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4BC1529B-6B01-4D8F-87FF-8A6A7277A5CC}" xr6:coauthVersionLast="45" xr6:coauthVersionMax="45" xr10:uidLastSave="{00000000-0000-0000-0000-000000000000}"/>
  <bookViews>
    <workbookView xWindow="285" yWindow="6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P126" i="3"/>
  <c r="O126" i="3"/>
  <c r="N126" i="3"/>
  <c r="M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R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R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E3" i="6" a="1"/>
  <c r="W51" i="6" a="1"/>
  <c r="Q51" i="6" a="1"/>
  <c r="Y3" i="6" a="1"/>
  <c r="G3" i="6" a="1"/>
  <c r="U51" i="6" a="1"/>
  <c r="AO3" i="6" a="1"/>
  <c r="I51" i="6" a="1"/>
  <c r="AC51" i="6" a="1"/>
  <c r="AE3" i="6" a="1"/>
  <c r="AA3" i="6" a="1"/>
  <c r="AE51" i="6" a="1"/>
  <c r="D3" i="10" a="1"/>
  <c r="K51" i="6" a="1"/>
  <c r="AM51" i="6" a="1"/>
  <c r="U3" i="6" a="1"/>
  <c r="AC3" i="6" a="1"/>
  <c r="S51" i="6" a="1"/>
  <c r="AQ3" i="6" a="1"/>
  <c r="A51" i="6" a="1"/>
  <c r="AO51" i="6" a="1"/>
  <c r="O51" i="6" a="1"/>
  <c r="AG3" i="6" a="1"/>
  <c r="AI51" i="6" a="1"/>
  <c r="W3" i="6" a="1"/>
  <c r="Q3" i="6" a="1"/>
  <c r="C51" i="6" a="1"/>
  <c r="AM3" i="6" a="1"/>
  <c r="AI3" i="6" a="1"/>
  <c r="S3" i="6" a="1"/>
  <c r="AA51" i="6" a="1"/>
  <c r="K3" i="6" a="1"/>
  <c r="AK3" i="6" a="1"/>
  <c r="Y51" i="6" a="1"/>
  <c r="E51" i="6" a="1"/>
  <c r="A3" i="10" a="1"/>
  <c r="AG51" i="6" a="1"/>
  <c r="O3" i="6" a="1"/>
  <c r="G51" i="6" a="1"/>
  <c r="M3" i="6" a="1"/>
  <c r="I3" i="6" a="1"/>
  <c r="M51" i="6" a="1"/>
  <c r="AK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<sst xmlns="http://schemas.openxmlformats.org/spreadsheetml/2006/main" count="448" uniqueCount="236">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</sst>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11" val="4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8" val="5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16" workbookViewId="0">
      <selection activeCell="J5" sqref="J5:N17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12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25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16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8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9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14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17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12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10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12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19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12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25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9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17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16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11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13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11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16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15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103" zoomScale="85" zoomScaleNormal="85" workbookViewId="0">
      <selection activeCell="I116" sqref="I116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 t="s">
        <v>201</v>
      </c>
      <c r="C7" s="12">
        <v>34</v>
      </c>
      <c r="D7" s="12">
        <v>2</v>
      </c>
      <c r="E7" s="12">
        <v>17</v>
      </c>
      <c r="F7" s="12">
        <v>14</v>
      </c>
      <c r="G7" s="12">
        <v>21</v>
      </c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Kasteel</v>
      </c>
      <c r="Q7" s="12" t="str">
        <f>IFERROR(VLOOKUP(G7,categorieen!$D:$E,2,FALSE),"")</f>
        <v>West Brabant</v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/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/>
      <c r="I18" s="12"/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/>
      </c>
      <c r="S18" s="12" t="str">
        <f>IFERROR(VLOOKUP(I18,categorieen!$D:$E,2,FALSE),"")</f>
        <v/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19</v>
      </c>
      <c r="F21" s="12">
        <v>32</v>
      </c>
      <c r="G21" s="12">
        <v>37</v>
      </c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Natuur</v>
      </c>
      <c r="P21" s="12" t="str">
        <f>IFERROR(VLOOKUP(F21,categorieen!$D:$E,2,FALSE),"")</f>
        <v>Met ie</v>
      </c>
      <c r="Q21" s="12" t="str">
        <f>IFERROR(VLOOKUP(G21,categorieen!$D:$E,2,FALSE),"")</f>
        <v>s Hertogenbosch (DB)</v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12</v>
      </c>
      <c r="H22" s="12"/>
      <c r="I22" s="12"/>
      <c r="J22" s="12"/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Water</v>
      </c>
      <c r="R22" s="12" t="str">
        <f>IFERROR(VLOOKUP(H22,categorieen!$D:$E,2,FALSE),"")</f>
        <v/>
      </c>
      <c r="S22" s="12" t="str">
        <f>IFERROR(VLOOKUP(I22,categorieen!$D:$E,2,FALSE),"")</f>
        <v/>
      </c>
      <c r="T22" s="12" t="str">
        <f>IFERROR(VLOOKUP(J22,categorieen!$D:$E,2,FALSE),"")</f>
        <v/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21</v>
      </c>
      <c r="F30" s="12">
        <v>4</v>
      </c>
      <c r="G30" s="12">
        <v>5</v>
      </c>
      <c r="H30" s="12">
        <v>17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West Brabant</v>
      </c>
      <c r="P30" s="12" t="str">
        <f>IFERROR(VLOOKUP(F30,categorieen!$D:$E,2,FALSE),"")</f>
        <v>Zes letters</v>
      </c>
      <c r="Q30" s="12" t="str">
        <f>IFERROR(VLOOKUP(G30,categorieen!$D:$E,2,FALSE),"")</f>
        <v>Bekende Brabanders</v>
      </c>
      <c r="R30" s="12" t="str">
        <f>IFERROR(VLOOKUP(H30,categorieen!$D:$E,2,FALSE),"")</f>
        <v>Met dubbel s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27</v>
      </c>
      <c r="F31" s="12">
        <v>2</v>
      </c>
      <c r="G31" s="12">
        <v>31</v>
      </c>
      <c r="H31" s="12">
        <v>3</v>
      </c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Eten en Drinken (ED)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>Begint met een B</v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/>
      <c r="K35" s="12"/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/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21</v>
      </c>
      <c r="F36" s="12">
        <v>26</v>
      </c>
      <c r="G36" s="12">
        <v>22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West Brabant</v>
      </c>
      <c r="P36" s="12" t="str">
        <f>IFERROR(VLOOKUP(F36,categorieen!$D:$E,2,FALSE),"")</f>
        <v>Eindigt op el</v>
      </c>
      <c r="Q36" s="12" t="str">
        <f>IFERROR(VLOOKUP(G36,categorieen!$D:$E,2,FALSE),"")</f>
        <v>3x dezelfde letter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>
        <v>35</v>
      </c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>Parel in het Groen (PITG)</v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>
        <v>36</v>
      </c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>Plein</v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/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/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/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/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5</v>
      </c>
      <c r="E65" s="12">
        <v>13</v>
      </c>
      <c r="F65" s="12">
        <v>8</v>
      </c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Bekende Brabanders</v>
      </c>
      <c r="O65" s="12" t="str">
        <f>IFERROR(VLOOKUP(E65,categorieen!$D:$E,2,FALSE),"")</f>
        <v>Met dubbel T</v>
      </c>
      <c r="P65" s="12" t="str">
        <f>IFERROR(VLOOKUP(F65,categorieen!$D:$E,2,FALSE),"")</f>
        <v>040 (Eindhoven)</v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2</v>
      </c>
      <c r="F70" s="12">
        <v>19</v>
      </c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(stand)beeld / (Rijks)monument</v>
      </c>
      <c r="P70" s="12" t="str">
        <f>IFERROR(VLOOKUP(F70,categorieen!$D:$E,2,FALSE),"")</f>
        <v>Natuur</v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/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/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/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/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>
        <v>31</v>
      </c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>Kleurrijk</v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/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/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/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/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/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/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/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/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/>
      <c r="I111" s="12"/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/>
      </c>
      <c r="S111" s="12" t="str">
        <f>IFERROR(VLOOKUP(I111,categorieen!$D:$E,2,FALSE),"")</f>
        <v/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/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/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/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/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11</v>
      </c>
      <c r="E124" s="12">
        <v>21</v>
      </c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Tilburg</v>
      </c>
      <c r="O124" s="12" t="str">
        <f>IFERROR(VLOOKUP(E124,categorieen!$D:$E,2,FALSE),"")</f>
        <v>West Brabant</v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31</v>
      </c>
      <c r="G126" s="12">
        <v>2</v>
      </c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Kleurrijk</v>
      </c>
      <c r="Q126" s="12" t="str">
        <f>IFERROR(VLOOKUP(G126,categorieen!$D:$E,2,FALSE),"")</f>
        <v>(stand)beeld / (Rijks)monument</v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/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/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/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/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C20" sqref="C20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0.28515625" bestFit="1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16.42578125" bestFit="1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18.85546875" bestFit="1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24</v>
      </c>
      <c r="C1" s="21">
        <v>37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3 of 4 letters</v>
      </c>
      <c r="C2" s="21" t="str">
        <f>VLOOKUP(C1,categorieen!$A:$B,2,FALSE)</f>
        <v>s Hertogenbosch (DB)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Baol</v>
      </c>
      <c r="B3" s="22"/>
      <c r="C3" s="22" t="str" cm="1">
        <f t="array" aca="1" ref="C3:C47" ca="1">TRANSPOSE(Lijstjemaken(C1))</f>
        <v>(aan de) Parade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Bieb</v>
      </c>
      <c r="B4" s="22"/>
      <c r="C4" s="22" t="str">
        <f ca="1"/>
        <v>A2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Bram Braam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Assumburg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Glow</v>
      </c>
      <c r="B5" s="22"/>
      <c r="C5" s="22" t="str">
        <f ca="1"/>
        <v>Binnen Dieze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Broekhoven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Bouvigne</v>
      </c>
      <c r="AB5" s="22"/>
      <c r="AC5" s="22" t="str">
        <f ca="1"/>
        <v>De 3 van</v>
      </c>
      <c r="AD5" s="22"/>
      <c r="AE5" s="22" t="str">
        <f ca="1"/>
        <v>De Leest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Binnen Dieze</v>
      </c>
      <c r="AL5" s="22"/>
      <c r="AM5" s="22" t="str">
        <f ca="1"/>
        <v>Elastiek</v>
      </c>
      <c r="AN5" s="22"/>
      <c r="AO5" s="22" t="str">
        <f ca="1"/>
        <v>Chassé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KVL</v>
      </c>
      <c r="B6" s="22"/>
      <c r="C6" s="22" t="str">
        <f ca="1"/>
        <v>Bossche Broek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Biesbosch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Bud Brocken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Broekhoven</v>
      </c>
      <c r="AB6" s="22"/>
      <c r="AC6" s="22" t="str">
        <f ca="1"/>
        <v>De Eeendracht</v>
      </c>
      <c r="AD6" s="22"/>
      <c r="AE6" s="22" t="str">
        <f ca="1"/>
        <v>De Pelikaan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Bossche Broek</v>
      </c>
      <c r="AL6" s="22"/>
      <c r="AM6" s="22" t="str">
        <f ca="1"/>
        <v>Glow</v>
      </c>
      <c r="AN6" s="22"/>
      <c r="AO6" s="22" t="str">
        <f ca="1"/>
        <v>De 3 van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Lies</v>
      </c>
      <c r="B7" s="22"/>
      <c r="C7" s="22" t="str">
        <f ca="1"/>
        <v>De Twee Pinten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Biestse Boulers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De Heuvel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De Blauwe Camer</v>
      </c>
      <c r="AB7" s="22"/>
      <c r="AC7" s="22" t="str">
        <f ca="1"/>
        <v>De 2 Gebroeders</v>
      </c>
      <c r="AD7" s="22"/>
      <c r="AE7" s="22" t="str">
        <f ca="1"/>
        <v>Heeswijk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Bouvigne</v>
      </c>
      <c r="AL7" s="22"/>
      <c r="AM7" s="22" t="str">
        <f ca="1"/>
        <v>Halve Zolen</v>
      </c>
      <c r="AN7" s="22"/>
      <c r="AO7" s="22" t="str">
        <f ca="1"/>
        <v>De Eeendracht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NAC</v>
      </c>
      <c r="B8" s="22"/>
      <c r="C8" s="22" t="str">
        <f ca="1"/>
        <v>Drakenfontein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Bossche Broek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Kruikezeiker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Gorp en Roovert</v>
      </c>
      <c r="AB8" s="22"/>
      <c r="AC8" s="22" t="str">
        <f ca="1"/>
        <v>De Twee Pinten</v>
      </c>
      <c r="AD8" s="22"/>
      <c r="AE8" s="22" t="str">
        <f ca="1"/>
        <v>Heimolen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Cartierheide</v>
      </c>
      <c r="AL8" s="22"/>
      <c r="AM8" s="22" t="str">
        <f ca="1"/>
        <v>Intents</v>
      </c>
      <c r="AN8" s="22"/>
      <c r="AO8" s="22" t="str">
        <f ca="1"/>
        <v>De Koepel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Oss</v>
      </c>
      <c r="B9" s="22"/>
      <c r="C9" s="22" t="str">
        <f ca="1"/>
        <v>Halve Zolen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Bram Braam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Petrus en Paulus (PP)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Heeswijk</v>
      </c>
      <c r="AB9" s="22"/>
      <c r="AC9" s="22" t="str">
        <f ca="1"/>
        <v>De Zwaan 1623</v>
      </c>
      <c r="AD9" s="22"/>
      <c r="AE9" s="22" t="str">
        <f ca="1"/>
        <v>Lies</v>
      </c>
      <c r="AF9" s="22"/>
      <c r="AG9" s="22" t="str">
        <f ca="1"/>
        <v>Oss</v>
      </c>
      <c r="AH9" s="22"/>
      <c r="AI9" s="22" t="str">
        <f ca="1"/>
        <v>Van Geel</v>
      </c>
      <c r="AJ9" s="22"/>
      <c r="AK9" s="22" t="str">
        <f ca="1"/>
        <v>De Eeendracht</v>
      </c>
      <c r="AL9" s="22"/>
      <c r="AM9" s="22" t="str">
        <f ca="1"/>
        <v>KVL</v>
      </c>
      <c r="AN9" s="22"/>
      <c r="AO9" s="22" t="str">
        <f ca="1"/>
        <v>De Paarse Heide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Rooi</v>
      </c>
      <c r="B10" s="22"/>
      <c r="C10" s="22" t="str">
        <f ca="1"/>
        <v>Moerputten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Bud Brocken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(plein) 1969</v>
      </c>
      <c r="R10" s="22"/>
      <c r="S10" s="22">
        <f ca="1"/>
        <v>0</v>
      </c>
      <c r="T10" s="22"/>
      <c r="U10" s="22" t="str">
        <f ca="1"/>
        <v>(plein) 1969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Helmond</v>
      </c>
      <c r="AB10" s="22"/>
      <c r="AC10" s="22" t="str">
        <f ca="1"/>
        <v>Halve Zolen</v>
      </c>
      <c r="AD10" s="22"/>
      <c r="AE10" s="22" t="str">
        <f ca="1"/>
        <v>Noenes</v>
      </c>
      <c r="AF10" s="22"/>
      <c r="AG10" s="22" t="str">
        <f ca="1"/>
        <v>Piet de Visser</v>
      </c>
      <c r="AH10" s="22"/>
      <c r="AI10" s="22" t="str">
        <f ca="1"/>
        <v>Van Roessel</v>
      </c>
      <c r="AJ10" s="22"/>
      <c r="AK10" s="22" t="str">
        <f ca="1"/>
        <v>De Korenbloem</v>
      </c>
      <c r="AL10" s="22"/>
      <c r="AM10" s="22" t="str">
        <f ca="1"/>
        <v>Paaspop</v>
      </c>
      <c r="AN10" s="22"/>
      <c r="AO10" s="22" t="str">
        <f ca="1"/>
        <v>De Pelikaan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Wouw</v>
      </c>
      <c r="B11" s="22"/>
      <c r="C11" s="22" t="str">
        <f ca="1"/>
        <v>Oosterplas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Ihattaren</v>
      </c>
      <c r="J11" s="22"/>
      <c r="K11" s="22">
        <f ca="1"/>
        <v>0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Wilhelminapark (WP)</v>
      </c>
      <c r="R11" s="22"/>
      <c r="S11" s="22">
        <f ca="1"/>
        <v>0</v>
      </c>
      <c r="T11" s="22"/>
      <c r="U11" s="22" t="str">
        <f ca="1"/>
        <v>Roze Maandag</v>
      </c>
      <c r="V11" s="22"/>
      <c r="W11" s="22" t="str">
        <f ca="1"/>
        <v>Drakenfontein</v>
      </c>
      <c r="X11" s="22"/>
      <c r="Y11" s="22">
        <f ca="1"/>
        <v>0</v>
      </c>
      <c r="Z11" s="22"/>
      <c r="AA11" s="22" t="str">
        <f ca="1"/>
        <v>Maurick</v>
      </c>
      <c r="AB11" s="22"/>
      <c r="AC11" s="22" t="str">
        <f ca="1"/>
        <v>(plein) 1969</v>
      </c>
      <c r="AD11" s="22"/>
      <c r="AE11" s="22" t="str">
        <f ca="1"/>
        <v>Noordhoek</v>
      </c>
      <c r="AF11" s="22"/>
      <c r="AG11" s="22" t="str">
        <f ca="1"/>
        <v>Ripasso</v>
      </c>
      <c r="AH11" s="22"/>
      <c r="AI11" s="22">
        <f ca="1"/>
        <v>0</v>
      </c>
      <c r="AJ11" s="22"/>
      <c r="AK11" s="22" t="str">
        <f ca="1"/>
        <v>De Paarse Heide</v>
      </c>
      <c r="AL11" s="22"/>
      <c r="AM11" s="22" t="str">
        <f ca="1"/>
        <v>Paperclip</v>
      </c>
      <c r="AN11" s="22"/>
      <c r="AO11" s="22" t="str">
        <f ca="1"/>
        <v>De 2 Gebroeders</v>
      </c>
      <c r="AP11" s="22"/>
      <c r="AQ11" s="22" t="str">
        <f ca="1"/>
        <v>De Blauwe Camer</v>
      </c>
      <c r="AR11" s="22"/>
    </row>
    <row r="12" spans="1:44" x14ac:dyDescent="0.25">
      <c r="A12" s="22">
        <f ca="1"/>
        <v>0</v>
      </c>
      <c r="B12" s="22"/>
      <c r="C12" s="22" t="str">
        <f ca="1"/>
        <v>Sint Jan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Joris Mathijsen (JM)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>
        <f ca="1"/>
        <v>0</v>
      </c>
      <c r="R12" s="22"/>
      <c r="S12" s="22">
        <f ca="1"/>
        <v>0</v>
      </c>
      <c r="T12" s="22"/>
      <c r="U12" s="22" t="str">
        <f ca="1"/>
        <v>Schrobbelèr</v>
      </c>
      <c r="V12" s="22"/>
      <c r="W12" s="22" t="str">
        <f ca="1"/>
        <v>Ijzeren man</v>
      </c>
      <c r="X12" s="22"/>
      <c r="Y12" s="22">
        <f ca="1"/>
        <v>0</v>
      </c>
      <c r="Z12" s="22"/>
      <c r="AA12" s="22" t="str">
        <f ca="1"/>
        <v>Nemerlaer</v>
      </c>
      <c r="AB12" s="22"/>
      <c r="AC12" s="22" t="str">
        <f ca="1"/>
        <v>Vijfhuizen</v>
      </c>
      <c r="AD12" s="22"/>
      <c r="AE12" s="22" t="str">
        <f ca="1"/>
        <v>t Zand</v>
      </c>
      <c r="AF12" s="22"/>
      <c r="AG12" s="22" t="str">
        <f ca="1"/>
        <v>Van Roessel</v>
      </c>
      <c r="AH12" s="22"/>
      <c r="AI12" s="22">
        <f ca="1"/>
        <v>0</v>
      </c>
      <c r="AJ12" s="22"/>
      <c r="AK12" s="22" t="str">
        <f ca="1"/>
        <v>Gorp en Roovert</v>
      </c>
      <c r="AL12" s="22"/>
      <c r="AM12" s="22" t="str">
        <f ca="1"/>
        <v>Roze Maandag</v>
      </c>
      <c r="AN12" s="22"/>
      <c r="AO12" s="22" t="str">
        <f ca="1"/>
        <v>Heimolen</v>
      </c>
      <c r="AP12" s="22"/>
      <c r="AQ12" s="22" t="str">
        <f ca="1"/>
        <v>De Brand (herberg)</v>
      </c>
      <c r="AR12" s="22"/>
    </row>
    <row r="13" spans="1:44" x14ac:dyDescent="0.25">
      <c r="A13" s="22">
        <f ca="1"/>
        <v>0</v>
      </c>
      <c r="B13" s="22"/>
      <c r="C13" s="22" t="str">
        <f ca="1"/>
        <v>7ende Hemel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Michael van Gerwen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t Kruiken(plein)</v>
      </c>
      <c r="V13" s="22"/>
      <c r="W13" s="22" t="str">
        <f ca="1"/>
        <v>Moerputten</v>
      </c>
      <c r="X13" s="22"/>
      <c r="Y13" s="22">
        <f ca="1"/>
        <v>0</v>
      </c>
      <c r="Z13" s="22"/>
      <c r="AA13" s="22" t="str">
        <f ca="1"/>
        <v>Oss</v>
      </c>
      <c r="AB13" s="22"/>
      <c r="AC13" s="22" t="str">
        <f ca="1"/>
        <v>7ende Hemel</v>
      </c>
      <c r="AD13" s="22"/>
      <c r="AE13" s="22" t="str">
        <f ca="1"/>
        <v>Vijfhuizen</v>
      </c>
      <c r="AF13" s="22"/>
      <c r="AG13" s="22">
        <f ca="1"/>
        <v>0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Wilhelminapark (WP)</v>
      </c>
      <c r="AN13" s="22"/>
      <c r="AO13" s="22" t="str">
        <f ca="1"/>
        <v>Lies</v>
      </c>
      <c r="AP13" s="22"/>
      <c r="AQ13" s="22" t="str">
        <f ca="1"/>
        <v>De Eeendracht</v>
      </c>
      <c r="AR13" s="22"/>
    </row>
    <row r="14" spans="1:44" x14ac:dyDescent="0.25">
      <c r="A14" s="22">
        <f ca="1"/>
        <v>0</v>
      </c>
      <c r="B14" s="22"/>
      <c r="C14" s="22">
        <f ca="1"/>
        <v>0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Ria Valk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Vijfhuizen</v>
      </c>
      <c r="V14" s="22"/>
      <c r="W14" s="22" t="str">
        <f ca="1"/>
        <v>Nemerlaer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 t="str">
        <f ca="1"/>
        <v>Winkel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Wintelre</v>
      </c>
      <c r="AN14" s="22"/>
      <c r="AO14" s="22" t="str">
        <f ca="1"/>
        <v>Nieuw Vossemeer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>
        <f ca="1"/>
        <v>0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Simon Tahamata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Westpoint</v>
      </c>
      <c r="V15" s="22"/>
      <c r="W15" s="22" t="str">
        <f ca="1"/>
        <v>Nieuw Vossemeer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>
        <f ca="1"/>
        <v>0</v>
      </c>
      <c r="AN15" s="22"/>
      <c r="AO15" s="22" t="str">
        <f ca="1"/>
        <v>Noordhoek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>
        <f ca="1"/>
        <v>0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Geel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Wilhelminapark (WP)</v>
      </c>
      <c r="V16" s="22"/>
      <c r="W16" s="22" t="str">
        <f ca="1"/>
        <v>Oosterplas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Ripasso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>
        <f ca="1"/>
        <v>0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Van Roessel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>
        <f ca="1"/>
        <v>0</v>
      </c>
      <c r="V17" s="22"/>
      <c r="W17" s="22" t="str">
        <f ca="1"/>
        <v>Sint Agatha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 t="str">
        <f ca="1"/>
        <v>St. Willebrord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>
        <f ca="1"/>
        <v>0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 t="str">
        <f ca="1"/>
        <v>Wim van Est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>
        <f ca="1"/>
        <v>0</v>
      </c>
      <c r="V18" s="22"/>
      <c r="W18" s="22" t="str">
        <f ca="1"/>
        <v>t Blauwe Meer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 t="str">
        <f ca="1"/>
        <v>t Zand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>
        <f ca="1"/>
        <v>0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 t="str">
        <f ca="1"/>
        <v>t Zand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 t="str">
        <f ca="1"/>
        <v>Westpoint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>
        <f ca="1"/>
        <v>0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>
        <f ca="1"/>
        <v>0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 t="str">
        <f ca="1"/>
        <v>Wilhelminapark (WP)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>
        <f ca="1"/>
        <v>0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 t="str">
        <f ca="1"/>
        <v>Wouw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>
        <f ca="1"/>
        <v>0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>
        <f ca="1"/>
        <v>0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>
        <f ca="1"/>
        <v>0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>
        <f ca="1"/>
        <v>0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>
        <f ca="1"/>
        <v>0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Paarse Heide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Heuvel</v>
      </c>
      <c r="AB54" s="22"/>
      <c r="AC54" s="22" t="str">
        <f ca="1"/>
        <v>Bossche Broek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De Paarse Heide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De Vrijthof</v>
      </c>
      <c r="AB55" s="22"/>
      <c r="AC55" s="22" t="str">
        <f ca="1"/>
        <v>De Twee Pinten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Elastiek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De Vrijthof</v>
      </c>
      <c r="AB56" s="22"/>
      <c r="AC56" s="22" t="str">
        <f ca="1"/>
        <v>Drakenfontein</v>
      </c>
      <c r="AD56" s="22"/>
      <c r="AE56" s="22" t="str">
        <f ca="1"/>
        <v>Ihattaren</v>
      </c>
      <c r="AF56" s="22"/>
      <c r="AG56" s="22" t="str">
        <f ca="1"/>
        <v>Vestzak</v>
      </c>
      <c r="AH56" s="22"/>
      <c r="AI56" s="22" t="str">
        <f ca="1"/>
        <v>Halve Zolen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Blauwe Camer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NAC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 t="str">
        <f ca="1"/>
        <v>Elastiek</v>
      </c>
      <c r="AB57" s="22"/>
      <c r="AC57" s="22" t="str">
        <f ca="1"/>
        <v>Halve Zolen</v>
      </c>
      <c r="AD57" s="22"/>
      <c r="AE57" s="22" t="str">
        <f ca="1"/>
        <v>Joris Mathijsen (JM)</v>
      </c>
      <c r="AF57" s="22"/>
      <c r="AG57" s="22">
        <f ca="1"/>
        <v>0</v>
      </c>
      <c r="AH57" s="22"/>
      <c r="AI57" s="22" t="str">
        <f ca="1"/>
        <v>Houdoe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Brand (herberg)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Petrus en Paulus (PP)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Lieve Lente</v>
      </c>
      <c r="AB58" s="22"/>
      <c r="AC58" s="22" t="str">
        <f ca="1"/>
        <v>Moerputten</v>
      </c>
      <c r="AD58" s="22"/>
      <c r="AE58" s="22" t="str">
        <f ca="1"/>
        <v>Michael van Gerwen</v>
      </c>
      <c r="AF58" s="22"/>
      <c r="AG58" s="22">
        <f ca="1"/>
        <v>0</v>
      </c>
      <c r="AH58" s="22"/>
      <c r="AI58" s="22" t="str">
        <f ca="1"/>
        <v>Lampegat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Pelikaan</v>
      </c>
      <c r="J59" s="22"/>
      <c r="K59" s="22" t="str">
        <f ca="1"/>
        <v>St. Willebrord</v>
      </c>
      <c r="L59" s="22"/>
      <c r="M59" s="22" t="str">
        <f ca="1"/>
        <v>Sint Joris</v>
      </c>
      <c r="N59" s="22"/>
      <c r="O59" s="22" t="str">
        <f ca="1"/>
        <v>Papzakken</v>
      </c>
      <c r="P59" s="22"/>
      <c r="Q59" s="22" t="str">
        <f ca="1"/>
        <v>Michael van Gerwen</v>
      </c>
      <c r="R59" s="22"/>
      <c r="S59" s="22" t="str">
        <f ca="1"/>
        <v>Lies</v>
      </c>
      <c r="T59" s="22"/>
      <c r="U59" s="22" t="str">
        <f ca="1"/>
        <v>Sint Joris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Pand P</v>
      </c>
      <c r="AB59" s="22"/>
      <c r="AC59" s="22" t="str">
        <f ca="1"/>
        <v>Oosterplas</v>
      </c>
      <c r="AD59" s="22"/>
      <c r="AE59" s="22" t="str">
        <f ca="1"/>
        <v>NAC</v>
      </c>
      <c r="AF59" s="22"/>
      <c r="AG59" s="22">
        <f ca="1"/>
        <v>0</v>
      </c>
      <c r="AH59" s="22"/>
      <c r="AI59" s="22" t="str">
        <f ca="1"/>
        <v>Papzakken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De Zwaan 1623</v>
      </c>
      <c r="J60" s="22"/>
      <c r="K60" s="22">
        <f ca="1"/>
        <v>0</v>
      </c>
      <c r="L60" s="22"/>
      <c r="M60" s="22">
        <f ca="1"/>
        <v>0</v>
      </c>
      <c r="N60" s="22"/>
      <c r="O60" s="22" t="str">
        <f ca="1"/>
        <v>Ploegersland</v>
      </c>
      <c r="P60" s="22"/>
      <c r="Q60" s="22" t="str">
        <f ca="1"/>
        <v>Paperclip</v>
      </c>
      <c r="R60" s="22"/>
      <c r="S60" s="22" t="str">
        <f ca="1"/>
        <v>Liessel</v>
      </c>
      <c r="T60" s="22"/>
      <c r="U60" s="22" t="str">
        <f ca="1"/>
        <v>Sint Juttemis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(plein) 1969</v>
      </c>
      <c r="AB60" s="22"/>
      <c r="AC60" s="22" t="str">
        <f ca="1"/>
        <v>Sint Jan</v>
      </c>
      <c r="AD60" s="22"/>
      <c r="AE60" s="22" t="str">
        <f ca="1"/>
        <v>Nooit Gedacht</v>
      </c>
      <c r="AF60" s="22"/>
      <c r="AG60" s="22">
        <f ca="1"/>
        <v>0</v>
      </c>
      <c r="AH60" s="22"/>
      <c r="AI60" s="22" t="str">
        <f ca="1"/>
        <v>Ploegersland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Elastiek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Rooi</v>
      </c>
      <c r="R61" s="22"/>
      <c r="S61" s="22" t="str">
        <f ca="1"/>
        <v>Nieuw Vossemeer</v>
      </c>
      <c r="T61" s="22"/>
      <c r="U61" s="22" t="str">
        <f ca="1"/>
        <v>Wilhelminapark (WP)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Sint Joris</v>
      </c>
      <c r="AB61" s="22"/>
      <c r="AC61" s="22" t="str">
        <f ca="1"/>
        <v>7ende Hemel</v>
      </c>
      <c r="AD61" s="22"/>
      <c r="AE61" s="22" t="str">
        <f ca="1"/>
        <v>Piet de Visser</v>
      </c>
      <c r="AF61" s="22"/>
      <c r="AG61" s="22">
        <f ca="1"/>
        <v>0</v>
      </c>
      <c r="AH61" s="22"/>
      <c r="AI61" s="22" t="str">
        <f ca="1"/>
        <v>Schrobbelèr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7ende Hemel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Roze Maandag</v>
      </c>
      <c r="R62" s="22"/>
      <c r="S62" s="22" t="str">
        <f ca="1"/>
        <v>Piet de Visser</v>
      </c>
      <c r="T62" s="22"/>
      <c r="U62" s="22">
        <f ca="1"/>
        <v>0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St. Willebrord</v>
      </c>
      <c r="AB62" s="22"/>
      <c r="AC62" s="22">
        <f ca="1"/>
        <v>0</v>
      </c>
      <c r="AD62" s="22"/>
      <c r="AE62" s="22" t="str">
        <f ca="1"/>
        <v>Roel van Hemert</v>
      </c>
      <c r="AF62" s="22"/>
      <c r="AG62" s="22">
        <f ca="1"/>
        <v>0</v>
      </c>
      <c r="AH62" s="22"/>
      <c r="AI62" s="22" t="str">
        <f ca="1"/>
        <v>Snuifscheppers (SFS)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>
        <f ca="1"/>
        <v>0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t Blauwe Meer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 t="str">
        <f ca="1"/>
        <v>t Kruiken(plein)</v>
      </c>
      <c r="AB63" s="22"/>
      <c r="AC63" s="22">
        <f ca="1"/>
        <v>0</v>
      </c>
      <c r="AD63" s="22"/>
      <c r="AE63" s="22" t="str">
        <f ca="1"/>
        <v>Simon Tahamata</v>
      </c>
      <c r="AF63" s="22"/>
      <c r="AG63" s="22">
        <f ca="1"/>
        <v>0</v>
      </c>
      <c r="AH63" s="22"/>
      <c r="AI63" s="22" t="str">
        <f ca="1"/>
        <v>Strontrapers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Van Geel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Van Geel</v>
      </c>
      <c r="AF64" s="22"/>
      <c r="AG64" s="22">
        <f ca="1"/>
        <v>0</v>
      </c>
      <c r="AH64" s="22"/>
      <c r="AI64" s="22" t="str">
        <f ca="1"/>
        <v>t Kruiken(plein)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 t="str">
        <f ca="1"/>
        <v>Wim van Est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Roessel</v>
      </c>
      <c r="AF65" s="22"/>
      <c r="AG65" s="22">
        <f ca="1"/>
        <v>0</v>
      </c>
      <c r="AH65" s="22"/>
      <c r="AI65" s="22" t="str">
        <f ca="1"/>
        <v>Worstenbroodje (WB)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Nooit Gedacht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Van Roessel</v>
      </c>
      <c r="P66" s="22"/>
      <c r="Q66" s="22" t="str">
        <f ca="1"/>
        <v>Witte Dame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Wim van Est</v>
      </c>
      <c r="AF66" s="22"/>
      <c r="AG66" s="22">
        <f ca="1"/>
        <v>0</v>
      </c>
      <c r="AH66" s="22"/>
      <c r="AI66" s="22">
        <f ca="1"/>
        <v>0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Pand P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>
        <f ca="1"/>
        <v>0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Ripasso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Schrobbelèr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Sint Joris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t Kruiken(plein)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Van Roessel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Venkraai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Worstenbroodje (WB)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 t="str">
        <f ca="1"/>
        <v>7ende Hemel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Borstbeeld Asselbergs (BA)</v>
      </c>
    </row>
    <row r="5" spans="1:4" x14ac:dyDescent="0.25">
      <c r="A5" t="str">
        <f ca="1"/>
        <v>Liessel</v>
      </c>
      <c r="D5" t="str">
        <f ca="1"/>
        <v>Bouvigne</v>
      </c>
    </row>
    <row r="6" spans="1:4" x14ac:dyDescent="0.25">
      <c r="A6" t="str">
        <f ca="1"/>
        <v>Nuenen</v>
      </c>
      <c r="D6" t="str">
        <f ca="1"/>
        <v>De Blauwe Camer</v>
      </c>
    </row>
    <row r="7" spans="1:4" x14ac:dyDescent="0.25">
      <c r="A7" t="str">
        <f ca="1"/>
        <v>Paaspop</v>
      </c>
      <c r="D7" t="str">
        <f ca="1"/>
        <v>De Koepel</v>
      </c>
    </row>
    <row r="8" spans="1:4" x14ac:dyDescent="0.25">
      <c r="A8" t="str">
        <f ca="1"/>
        <v>Pand P</v>
      </c>
      <c r="D8" t="str">
        <f ca="1"/>
        <v>De Korenbloem</v>
      </c>
    </row>
    <row r="9" spans="1:4" x14ac:dyDescent="0.25">
      <c r="A9" t="str">
        <f ca="1"/>
        <v>Paperclip</v>
      </c>
      <c r="D9" t="str">
        <f ca="1"/>
        <v>De Laat</v>
      </c>
    </row>
    <row r="10" spans="1:4" x14ac:dyDescent="0.25">
      <c r="A10" t="str">
        <f ca="1"/>
        <v>Sint Anthonis</v>
      </c>
      <c r="D10" t="str">
        <f ca="1"/>
        <v>De 2 Gebroeders</v>
      </c>
    </row>
    <row r="11" spans="1:4" x14ac:dyDescent="0.25">
      <c r="A11" t="str">
        <f ca="1"/>
        <v>Sint Joris</v>
      </c>
      <c r="D11" t="str">
        <f ca="1"/>
        <v>De Zwaan 1623</v>
      </c>
    </row>
    <row r="12" spans="1:4" x14ac:dyDescent="0.25">
      <c r="A12" t="str">
        <f ca="1"/>
        <v>Snuifscheppers (SFS)</v>
      </c>
      <c r="D12" t="str">
        <f ca="1"/>
        <v>Drakenfontein</v>
      </c>
    </row>
    <row r="13" spans="1:4" x14ac:dyDescent="0.25">
      <c r="A13" t="str">
        <f ca="1"/>
        <v>Strontrapers</v>
      </c>
      <c r="D13" t="str">
        <f ca="1"/>
        <v>Evoluon</v>
      </c>
    </row>
    <row r="14" spans="1:4" x14ac:dyDescent="0.25">
      <c r="A14" t="str">
        <f ca="1"/>
        <v>Wouw</v>
      </c>
      <c r="D14" t="str">
        <f ca="1"/>
        <v>Frits Philips</v>
      </c>
    </row>
    <row r="15" spans="1:4" x14ac:dyDescent="0.25">
      <c r="A15">
        <f ca="1"/>
        <v>0</v>
      </c>
      <c r="D15" t="str">
        <f ca="1"/>
        <v>Heeswijk</v>
      </c>
    </row>
    <row r="16" spans="1:4" x14ac:dyDescent="0.25">
      <c r="A16">
        <f ca="1"/>
        <v>0</v>
      </c>
      <c r="D16" t="str">
        <f ca="1"/>
        <v>Helmond</v>
      </c>
    </row>
    <row r="17" spans="1:4" x14ac:dyDescent="0.25">
      <c r="A17">
        <f ca="1"/>
        <v>0</v>
      </c>
      <c r="D17" t="str">
        <f ca="1"/>
        <v>Kampina</v>
      </c>
    </row>
    <row r="18" spans="1:4" x14ac:dyDescent="0.25">
      <c r="A18">
        <f ca="1"/>
        <v>0</v>
      </c>
      <c r="D18" t="str">
        <f ca="1"/>
        <v>KVL</v>
      </c>
    </row>
    <row r="19" spans="1:4" x14ac:dyDescent="0.25">
      <c r="A19">
        <f ca="1"/>
        <v>0</v>
      </c>
      <c r="D19" t="str">
        <f ca="1"/>
        <v>Lunetten</v>
      </c>
    </row>
    <row r="20" spans="1:4" x14ac:dyDescent="0.25">
      <c r="A20">
        <f ca="1"/>
        <v>0</v>
      </c>
      <c r="D20" t="str">
        <f ca="1"/>
        <v>Maurick</v>
      </c>
    </row>
    <row r="21" spans="1:4" x14ac:dyDescent="0.25">
      <c r="A21">
        <f ca="1"/>
        <v>0</v>
      </c>
      <c r="D21" t="str">
        <f ca="1"/>
        <v>Nemerlaer</v>
      </c>
    </row>
    <row r="22" spans="1:4" x14ac:dyDescent="0.25">
      <c r="A22">
        <f ca="1"/>
        <v>0</v>
      </c>
      <c r="D22" t="str">
        <f ca="1"/>
        <v>Sint Jan</v>
      </c>
    </row>
    <row r="23" spans="1:4" x14ac:dyDescent="0.25">
      <c r="A23">
        <f ca="1"/>
        <v>0</v>
      </c>
      <c r="D23" t="str">
        <f ca="1"/>
        <v>Sint Joris</v>
      </c>
    </row>
    <row r="24" spans="1:4" x14ac:dyDescent="0.25">
      <c r="A24">
        <f ca="1"/>
        <v>0</v>
      </c>
      <c r="D24" t="str">
        <f ca="1"/>
        <v>Van Roessel</v>
      </c>
    </row>
    <row r="25" spans="1:4" x14ac:dyDescent="0.25">
      <c r="A25">
        <f ca="1"/>
        <v>0</v>
      </c>
      <c r="D25" t="str">
        <f ca="1"/>
        <v>Wim van Est</v>
      </c>
    </row>
    <row r="26" spans="1:4" x14ac:dyDescent="0.25">
      <c r="A26">
        <f ca="1"/>
        <v>0</v>
      </c>
      <c r="D26" t="str">
        <f ca="1"/>
        <v>Witte Dame</v>
      </c>
    </row>
    <row r="27" spans="1:4" x14ac:dyDescent="0.25">
      <c r="A27">
        <f ca="1"/>
        <v>0</v>
      </c>
      <c r="D27" t="str">
        <f ca="1"/>
        <v>Zittend Meisje</v>
      </c>
    </row>
    <row r="28" spans="1:4" x14ac:dyDescent="0.25">
      <c r="A28">
        <f ca="1"/>
        <v>0</v>
      </c>
      <c r="D28">
        <f ca="1"/>
        <v>0</v>
      </c>
    </row>
    <row r="29" spans="1:4" x14ac:dyDescent="0.25">
      <c r="A29">
        <f ca="1"/>
        <v>0</v>
      </c>
      <c r="D29">
        <f ca="1"/>
        <v>0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9" sqref="C9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11</v>
      </c>
      <c r="C2">
        <v>8</v>
      </c>
    </row>
    <row r="4" spans="1:3" x14ac:dyDescent="0.25">
      <c r="A4" t="str" cm="1">
        <f t="array" ref="A4">INDEX(Antwoorden!$M$2:$T$133,'Per antwoord'!A2,1)</f>
        <v>Met B en B</v>
      </c>
      <c r="C4" t="str" cm="1">
        <f t="array" ref="C4">INDEX(Antwoorden!$M$2:$T$133,'Per antwoord'!C2,1)</f>
        <v>Begint met een B</v>
      </c>
    </row>
    <row r="5" spans="1:3" x14ac:dyDescent="0.25">
      <c r="A5" t="str" cm="1">
        <f t="array" ref="A5">INDEX(Antwoorden!$M$2:$T$133,'Per antwoord'!A2,2)</f>
        <v>Hilvarenbeek</v>
      </c>
      <c r="C5" t="str" cm="1">
        <f t="array" ref="C5">INDEX(Antwoorden!$M$2:$T$133,'Per antwoord'!C2,2)</f>
        <v>Typisch Brabants (TB)</v>
      </c>
    </row>
    <row r="6" spans="1:3" x14ac:dyDescent="0.25">
      <c r="A6" t="str" cm="1">
        <f t="array" ref="A6">INDEX(Antwoorden!$M$2:$T$133,'Per antwoord'!A2,3)</f>
        <v>Dierlijk</v>
      </c>
      <c r="C6" t="str" cm="1">
        <f t="array" ref="C6">INDEX(Antwoorden!$M$2:$T$133,'Per antwoord'!C2,3)</f>
        <v>Met B en B</v>
      </c>
    </row>
    <row r="7" spans="1:3" x14ac:dyDescent="0.25">
      <c r="A7" t="str" cm="1">
        <f t="array" ref="A7">INDEX(Antwoorden!$M$2:$T$133,'Per antwoord'!A2,4)</f>
        <v>Festival</v>
      </c>
      <c r="C7" t="str" cm="1">
        <f t="array" ref="C7">INDEX(Antwoorden!$M$2:$T$133,'Per antwoord'!C2,4)</f>
        <v>Dierlijk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Eten en Drinken (ED)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2020-12-29T23:29:54Z</dcterms:modified>
</cp:coreProperties>
</file>