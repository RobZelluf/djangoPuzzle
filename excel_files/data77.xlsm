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D08709B9-69B9-4EFF-830C-359241411092}" xr6:coauthVersionLast="45" xr6:coauthVersionMax="45" xr10:uidLastSave="{00000000-0000-0000-0000-000000000000}"/>
  <bookViews>
    <workbookView xWindow="615" yWindow="0" windowWidth="23220" windowHeight="12525" firstSheet="1" activeTab="4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<sst xmlns="http://schemas.openxmlformats.org/spreadsheetml/2006/main" count="447" uniqueCount="236">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</sst>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24" val="23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D18" sqref="D18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15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opLeftCell="A76" zoomScale="85" zoomScaleNormal="85" workbookViewId="0">
      <selection activeCell="I100" sqref="I10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s Hertogenbosch (DB)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Getal/Cijfer</v>
      </c>
      <c r="O33" s="12" t="str">
        <f>IFERROR(VLOOKUP(E33,categorieen!$D:$E,2,FALSE),"")</f>
        <v>Zes letters</v>
      </c>
      <c r="P33" s="12" t="str">
        <f>IFERROR(VLOOKUP(F33,categorieen!$D:$E,2,FALSE),"")</f>
        <v/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>
        <v>42</v>
      </c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>7 letters</v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Natuur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7 letters</v>
      </c>
      <c r="P101" s="12" t="str">
        <f>IFERROR(VLOOKUP(F101,categorieen!$D:$E,2,FALSE),"")</f>
        <v/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>Hilvarenbeek</v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>In de volksmond (IDV)</v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abSelected="1" topLeftCell="H1" workbookViewId="0">
      <selection activeCell="N21" sqref="N21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17</v>
      </c>
      <c r="C1" s="21">
        <v>41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Met dubbel s</v>
      </c>
      <c r="C2" s="21" t="str">
        <f>VLOOKUP(C1,categorieen!$A:$B,2,FALSE)</f>
        <v>Vught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Assumburg</v>
      </c>
      <c r="B3" s="22"/>
      <c r="C3" s="22" t="str" cm="1">
        <f t="array" aca="1" ref="C3:C47" ca="1">TRANSPOSE(Lijstjemaken(C1))</f>
        <v>A2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Borstbeeld Asselbergs (BA)</v>
      </c>
      <c r="B4" s="22"/>
      <c r="C4" s="22" t="str">
        <f ca="1"/>
        <v>Ijzeren man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Chassé</v>
      </c>
      <c r="B5" s="22"/>
      <c r="C5" s="22" t="str">
        <f ca="1"/>
        <v>In 't Groene Woud (GW)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Diessen</v>
      </c>
      <c r="B6" s="22"/>
      <c r="C6" s="22" t="str">
        <f ca="1"/>
        <v>Lunetten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Frits Spits</v>
      </c>
      <c r="B7" s="22"/>
      <c r="C7" s="22" t="str">
        <f ca="1"/>
        <v>Maurick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Pelikaan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Liessel</v>
      </c>
      <c r="B8" s="22"/>
      <c r="C8" s="22" t="str">
        <f ca="1"/>
        <v>Petrus en Paulus (PP)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2 Gebroeders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Nieuw Vossemeer</v>
      </c>
      <c r="B9" s="22"/>
      <c r="C9" s="22" t="str">
        <f ca="1"/>
        <v>Simon Tahamata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Heimolen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Oss</v>
      </c>
      <c r="B10" s="22"/>
      <c r="C10" s="22">
        <f ca="1"/>
        <v>0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Lies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Piet de Visser</v>
      </c>
      <c r="B11" s="22"/>
      <c r="C11" s="22">
        <f ca="1"/>
        <v>0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Nieuw Vossemeer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Ripasso</v>
      </c>
      <c r="B12" s="22"/>
      <c r="C12" s="22">
        <f ca="1"/>
        <v>0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Noordhoek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Van Roessel</v>
      </c>
      <c r="B13" s="22"/>
      <c r="C13" s="22">
        <f ca="1"/>
        <v>0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Papzakken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>
        <f ca="1"/>
        <v>0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St. Willebrord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>
        <f ca="1"/>
        <v>0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t Zand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Wilhelminapark (WP)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Wouw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Nuenen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Ria Valk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Ripasso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Sint Jan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Witte Dame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Stinsel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Van Geel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 t="str">
        <f ca="1"/>
        <v>Vestzak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t Kruiken(plein)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24</v>
      </c>
      <c r="C2">
        <v>40</v>
      </c>
    </row>
    <row r="4" spans="1:3" x14ac:dyDescent="0.25">
      <c r="A4" t="str" cm="1">
        <f t="array" ref="A4">INDEX(Antwoorden!$M$2:$T$133,'Per antwoord'!A2,1)</f>
        <v>Kasteel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Begint met een B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Natuur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076 (Breda)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>(stand)beeld / (Rijks)monument</v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>Eten en Drinken (ED)</v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2021-01-01T17:06:15Z</dcterms:modified>
</cp:coreProperties>
</file>