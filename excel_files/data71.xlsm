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sZelluf\Desktop\Puzzel\"/>
    </mc:Choice>
  </mc:AlternateContent>
  <xr:revisionPtr revIDLastSave="0" documentId="13_ncr:1_{A130F305-1EC9-4888-9A24-C5535252756B}" xr6:coauthVersionLast="45" xr6:coauthVersionMax="45" xr10:uidLastSave="{00000000-0000-0000-0000-000000000000}"/>
  <bookViews>
    <workbookView xWindow="705" yWindow="165" windowWidth="23220" windowHeight="12525" firstSheet="1" activeTab="3" xr2:uid="{11323B4A-10ED-4408-A277-8E27BA89E65A}"/>
  </bookViews>
  <sheets>
    <sheet name="Antwoorden KOPIE" sheetId="8" state="hidden" r:id="rId1"/>
    <sheet name="Puzzel" sheetId="4" r:id="rId2"/>
    <sheet name="categorieen" sheetId="1" r:id="rId3"/>
    <sheet name="Antwoorden" sheetId="3" r:id="rId4"/>
    <sheet name="Per categorie" sheetId="6" r:id="rId5"/>
    <sheet name="Blad1" sheetId="10" r:id="rId6"/>
    <sheet name="Per antwoord" sheetId="9" r:id="rId7"/>
    <sheet name="Blad2" sheetId="2" state="hidden" r:id="rId8"/>
  </sheets>
  <functionGroups builtInGroupCount="19"/>
  <definedNames>
    <definedName name="_xlnm.Print_Area" localSheetId="1">Puzzel!$J$6:$AH$83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35" i="3" l="1"/>
  <c r="R131" i="3"/>
  <c r="R22" i="3"/>
  <c r="R35" i="3" l="1"/>
  <c r="P126" i="3" l="1"/>
  <c r="O126" i="3"/>
  <c r="N126" i="3"/>
  <c r="M126" i="3"/>
  <c r="T133" i="3" l="1"/>
  <c r="S133" i="3"/>
  <c r="R133" i="3"/>
  <c r="Q133" i="3"/>
  <c r="P133" i="3"/>
  <c r="O133" i="3"/>
  <c r="N133" i="3"/>
  <c r="M133" i="3"/>
  <c r="T132" i="3"/>
  <c r="S132" i="3"/>
  <c r="R132" i="3"/>
  <c r="Q132" i="3"/>
  <c r="P132" i="3"/>
  <c r="O132" i="3"/>
  <c r="N132" i="3"/>
  <c r="M132" i="3"/>
  <c r="T131" i="3"/>
  <c r="S131" i="3"/>
  <c r="Q131" i="3"/>
  <c r="P131" i="3"/>
  <c r="O131" i="3"/>
  <c r="N131" i="3"/>
  <c r="M131" i="3"/>
  <c r="T130" i="3"/>
  <c r="S130" i="3"/>
  <c r="R130" i="3"/>
  <c r="Q130" i="3"/>
  <c r="P130" i="3"/>
  <c r="O130" i="3"/>
  <c r="N130" i="3"/>
  <c r="M130" i="3"/>
  <c r="T129" i="3"/>
  <c r="S129" i="3"/>
  <c r="R129" i="3"/>
  <c r="Q129" i="3"/>
  <c r="P129" i="3"/>
  <c r="O129" i="3"/>
  <c r="N129" i="3"/>
  <c r="M129" i="3"/>
  <c r="T128" i="3"/>
  <c r="S128" i="3"/>
  <c r="R128" i="3"/>
  <c r="Q128" i="3"/>
  <c r="P128" i="3"/>
  <c r="O128" i="3"/>
  <c r="N128" i="3"/>
  <c r="M128" i="3"/>
  <c r="T127" i="3"/>
  <c r="S127" i="3"/>
  <c r="R127" i="3"/>
  <c r="Q127" i="3"/>
  <c r="P127" i="3"/>
  <c r="O127" i="3"/>
  <c r="N127" i="3"/>
  <c r="M127" i="3"/>
  <c r="T126" i="3"/>
  <c r="S126" i="3"/>
  <c r="R126" i="3"/>
  <c r="Q126" i="3"/>
  <c r="T125" i="3"/>
  <c r="S125" i="3"/>
  <c r="R125" i="3"/>
  <c r="Q125" i="3"/>
  <c r="P125" i="3"/>
  <c r="O125" i="3"/>
  <c r="N125" i="3"/>
  <c r="M125" i="3"/>
  <c r="T124" i="3"/>
  <c r="S124" i="3"/>
  <c r="R124" i="3"/>
  <c r="Q124" i="3"/>
  <c r="P124" i="3"/>
  <c r="O124" i="3"/>
  <c r="N124" i="3"/>
  <c r="M124" i="3"/>
  <c r="T123" i="3"/>
  <c r="S123" i="3"/>
  <c r="R123" i="3"/>
  <c r="Q123" i="3"/>
  <c r="P123" i="3"/>
  <c r="O123" i="3"/>
  <c r="N123" i="3"/>
  <c r="M123" i="3"/>
  <c r="T122" i="3"/>
  <c r="S122" i="3"/>
  <c r="R122" i="3"/>
  <c r="Q122" i="3"/>
  <c r="P122" i="3"/>
  <c r="O122" i="3"/>
  <c r="N122" i="3"/>
  <c r="M122" i="3"/>
  <c r="T121" i="3"/>
  <c r="S121" i="3"/>
  <c r="R121" i="3"/>
  <c r="Q121" i="3"/>
  <c r="P121" i="3"/>
  <c r="O121" i="3"/>
  <c r="N121" i="3"/>
  <c r="M121" i="3"/>
  <c r="T120" i="3"/>
  <c r="S120" i="3"/>
  <c r="R120" i="3"/>
  <c r="Q120" i="3"/>
  <c r="P120" i="3"/>
  <c r="O120" i="3"/>
  <c r="N120" i="3"/>
  <c r="M120" i="3"/>
  <c r="T119" i="3"/>
  <c r="S119" i="3"/>
  <c r="R119" i="3"/>
  <c r="Q119" i="3"/>
  <c r="P119" i="3"/>
  <c r="O119" i="3"/>
  <c r="N119" i="3"/>
  <c r="M119" i="3"/>
  <c r="T118" i="3"/>
  <c r="S118" i="3"/>
  <c r="R118" i="3"/>
  <c r="Q118" i="3"/>
  <c r="P118" i="3"/>
  <c r="O118" i="3"/>
  <c r="N118" i="3"/>
  <c r="M118" i="3"/>
  <c r="T117" i="3"/>
  <c r="S117" i="3"/>
  <c r="R117" i="3"/>
  <c r="Q117" i="3"/>
  <c r="P117" i="3"/>
  <c r="O117" i="3"/>
  <c r="N117" i="3"/>
  <c r="M117" i="3"/>
  <c r="T116" i="3"/>
  <c r="S116" i="3"/>
  <c r="R116" i="3"/>
  <c r="Q116" i="3"/>
  <c r="P116" i="3"/>
  <c r="O116" i="3"/>
  <c r="N116" i="3"/>
  <c r="M116" i="3"/>
  <c r="T115" i="3"/>
  <c r="S115" i="3"/>
  <c r="R115" i="3"/>
  <c r="Q115" i="3"/>
  <c r="P115" i="3"/>
  <c r="O115" i="3"/>
  <c r="N115" i="3"/>
  <c r="M115" i="3"/>
  <c r="T114" i="3"/>
  <c r="S114" i="3"/>
  <c r="R114" i="3"/>
  <c r="Q114" i="3"/>
  <c r="P114" i="3"/>
  <c r="O114" i="3"/>
  <c r="N114" i="3"/>
  <c r="M114" i="3"/>
  <c r="T113" i="3"/>
  <c r="S113" i="3"/>
  <c r="R113" i="3"/>
  <c r="Q113" i="3"/>
  <c r="P113" i="3"/>
  <c r="O113" i="3"/>
  <c r="N113" i="3"/>
  <c r="M113" i="3"/>
  <c r="T112" i="3"/>
  <c r="S112" i="3"/>
  <c r="R112" i="3"/>
  <c r="Q112" i="3"/>
  <c r="P112" i="3"/>
  <c r="O112" i="3"/>
  <c r="N112" i="3"/>
  <c r="M112" i="3"/>
  <c r="T111" i="3"/>
  <c r="S111" i="3"/>
  <c r="R111" i="3"/>
  <c r="Q111" i="3"/>
  <c r="P111" i="3"/>
  <c r="O111" i="3"/>
  <c r="N111" i="3"/>
  <c r="M111" i="3"/>
  <c r="T110" i="3"/>
  <c r="S110" i="3"/>
  <c r="R110" i="3"/>
  <c r="Q110" i="3"/>
  <c r="P110" i="3"/>
  <c r="O110" i="3"/>
  <c r="N110" i="3"/>
  <c r="M110" i="3"/>
  <c r="T109" i="3"/>
  <c r="S109" i="3"/>
  <c r="R109" i="3"/>
  <c r="Q109" i="3"/>
  <c r="P109" i="3"/>
  <c r="O109" i="3"/>
  <c r="N109" i="3"/>
  <c r="M109" i="3"/>
  <c r="T108" i="3"/>
  <c r="S108" i="3"/>
  <c r="R108" i="3"/>
  <c r="Q108" i="3"/>
  <c r="P108" i="3"/>
  <c r="O108" i="3"/>
  <c r="N108" i="3"/>
  <c r="M108" i="3"/>
  <c r="T107" i="3"/>
  <c r="S107" i="3"/>
  <c r="R107" i="3"/>
  <c r="Q107" i="3"/>
  <c r="P107" i="3"/>
  <c r="O107" i="3"/>
  <c r="N107" i="3"/>
  <c r="M107" i="3"/>
  <c r="T106" i="3"/>
  <c r="S106" i="3"/>
  <c r="R106" i="3"/>
  <c r="Q106" i="3"/>
  <c r="P106" i="3"/>
  <c r="O106" i="3"/>
  <c r="N106" i="3"/>
  <c r="M106" i="3"/>
  <c r="T105" i="3"/>
  <c r="S105" i="3"/>
  <c r="R105" i="3"/>
  <c r="Q105" i="3"/>
  <c r="P105" i="3"/>
  <c r="O105" i="3"/>
  <c r="N105" i="3"/>
  <c r="M105" i="3"/>
  <c r="T104" i="3"/>
  <c r="S104" i="3"/>
  <c r="R104" i="3"/>
  <c r="Q104" i="3"/>
  <c r="P104" i="3"/>
  <c r="O104" i="3"/>
  <c r="N104" i="3"/>
  <c r="M104" i="3"/>
  <c r="T103" i="3"/>
  <c r="S103" i="3"/>
  <c r="R103" i="3"/>
  <c r="Q103" i="3"/>
  <c r="P103" i="3"/>
  <c r="O103" i="3"/>
  <c r="N103" i="3"/>
  <c r="M103" i="3"/>
  <c r="T102" i="3"/>
  <c r="S102" i="3"/>
  <c r="R102" i="3"/>
  <c r="Q102" i="3"/>
  <c r="P102" i="3"/>
  <c r="O102" i="3"/>
  <c r="N102" i="3"/>
  <c r="M102" i="3"/>
  <c r="T101" i="3"/>
  <c r="S101" i="3"/>
  <c r="R101" i="3"/>
  <c r="Q101" i="3"/>
  <c r="P101" i="3"/>
  <c r="O101" i="3"/>
  <c r="N101" i="3"/>
  <c r="M101" i="3"/>
  <c r="T100" i="3"/>
  <c r="S100" i="3"/>
  <c r="R100" i="3"/>
  <c r="Q100" i="3"/>
  <c r="P100" i="3"/>
  <c r="O100" i="3"/>
  <c r="N100" i="3"/>
  <c r="M100" i="3"/>
  <c r="T99" i="3"/>
  <c r="S99" i="3"/>
  <c r="R99" i="3"/>
  <c r="Q99" i="3"/>
  <c r="P99" i="3"/>
  <c r="O99" i="3"/>
  <c r="N99" i="3"/>
  <c r="M99" i="3"/>
  <c r="T98" i="3"/>
  <c r="S98" i="3"/>
  <c r="R98" i="3"/>
  <c r="Q98" i="3"/>
  <c r="P98" i="3"/>
  <c r="O98" i="3"/>
  <c r="N98" i="3"/>
  <c r="M98" i="3"/>
  <c r="T97" i="3"/>
  <c r="S97" i="3"/>
  <c r="R97" i="3"/>
  <c r="Q97" i="3"/>
  <c r="P97" i="3"/>
  <c r="O97" i="3"/>
  <c r="N97" i="3"/>
  <c r="M97" i="3"/>
  <c r="T96" i="3"/>
  <c r="S96" i="3"/>
  <c r="R96" i="3"/>
  <c r="Q96" i="3"/>
  <c r="P96" i="3"/>
  <c r="O96" i="3"/>
  <c r="N96" i="3"/>
  <c r="M96" i="3"/>
  <c r="T95" i="3"/>
  <c r="S95" i="3"/>
  <c r="R95" i="3"/>
  <c r="Q95" i="3"/>
  <c r="P95" i="3"/>
  <c r="O95" i="3"/>
  <c r="N95" i="3"/>
  <c r="M95" i="3"/>
  <c r="T94" i="3"/>
  <c r="S94" i="3"/>
  <c r="R94" i="3"/>
  <c r="Q94" i="3"/>
  <c r="P94" i="3"/>
  <c r="O94" i="3"/>
  <c r="N94" i="3"/>
  <c r="M94" i="3"/>
  <c r="T93" i="3"/>
  <c r="S93" i="3"/>
  <c r="R93" i="3"/>
  <c r="Q93" i="3"/>
  <c r="P93" i="3"/>
  <c r="O93" i="3"/>
  <c r="N93" i="3"/>
  <c r="M93" i="3"/>
  <c r="T92" i="3"/>
  <c r="S92" i="3"/>
  <c r="R92" i="3"/>
  <c r="Q92" i="3"/>
  <c r="P92" i="3"/>
  <c r="O92" i="3"/>
  <c r="N92" i="3"/>
  <c r="M92" i="3"/>
  <c r="T91" i="3"/>
  <c r="S91" i="3"/>
  <c r="R91" i="3"/>
  <c r="Q91" i="3"/>
  <c r="P91" i="3"/>
  <c r="O91" i="3"/>
  <c r="N91" i="3"/>
  <c r="M91" i="3"/>
  <c r="T90" i="3"/>
  <c r="S90" i="3"/>
  <c r="R90" i="3"/>
  <c r="Q90" i="3"/>
  <c r="P90" i="3"/>
  <c r="O90" i="3"/>
  <c r="N90" i="3"/>
  <c r="M90" i="3"/>
  <c r="T89" i="3"/>
  <c r="S89" i="3"/>
  <c r="R89" i="3"/>
  <c r="Q89" i="3"/>
  <c r="P89" i="3"/>
  <c r="O89" i="3"/>
  <c r="N89" i="3"/>
  <c r="M89" i="3"/>
  <c r="T88" i="3"/>
  <c r="S88" i="3"/>
  <c r="R88" i="3"/>
  <c r="Q88" i="3"/>
  <c r="P88" i="3"/>
  <c r="O88" i="3"/>
  <c r="N88" i="3"/>
  <c r="M88" i="3"/>
  <c r="T87" i="3"/>
  <c r="S87" i="3"/>
  <c r="R87" i="3"/>
  <c r="Q87" i="3"/>
  <c r="P87" i="3"/>
  <c r="O87" i="3"/>
  <c r="N87" i="3"/>
  <c r="M87" i="3"/>
  <c r="T86" i="3"/>
  <c r="S86" i="3"/>
  <c r="R86" i="3"/>
  <c r="Q86" i="3"/>
  <c r="P86" i="3"/>
  <c r="O86" i="3"/>
  <c r="N86" i="3"/>
  <c r="M86" i="3"/>
  <c r="T85" i="3"/>
  <c r="S85" i="3"/>
  <c r="R85" i="3"/>
  <c r="Q85" i="3"/>
  <c r="P85" i="3"/>
  <c r="O85" i="3"/>
  <c r="N85" i="3"/>
  <c r="M85" i="3"/>
  <c r="T84" i="3"/>
  <c r="S84" i="3"/>
  <c r="R84" i="3"/>
  <c r="Q84" i="3"/>
  <c r="P84" i="3"/>
  <c r="O84" i="3"/>
  <c r="N84" i="3"/>
  <c r="M84" i="3"/>
  <c r="T83" i="3"/>
  <c r="S83" i="3"/>
  <c r="R83" i="3"/>
  <c r="Q83" i="3"/>
  <c r="P83" i="3"/>
  <c r="O83" i="3"/>
  <c r="N83" i="3"/>
  <c r="M83" i="3"/>
  <c r="T82" i="3"/>
  <c r="S82" i="3"/>
  <c r="R82" i="3"/>
  <c r="Q82" i="3"/>
  <c r="P82" i="3"/>
  <c r="O82" i="3"/>
  <c r="N82" i="3"/>
  <c r="M82" i="3"/>
  <c r="T81" i="3"/>
  <c r="S81" i="3"/>
  <c r="R81" i="3"/>
  <c r="Q81" i="3"/>
  <c r="P81" i="3"/>
  <c r="O81" i="3"/>
  <c r="N81" i="3"/>
  <c r="M81" i="3"/>
  <c r="T80" i="3"/>
  <c r="S80" i="3"/>
  <c r="R80" i="3"/>
  <c r="Q80" i="3"/>
  <c r="P80" i="3"/>
  <c r="O80" i="3"/>
  <c r="N80" i="3"/>
  <c r="M80" i="3"/>
  <c r="T79" i="3"/>
  <c r="S79" i="3"/>
  <c r="R79" i="3"/>
  <c r="Q79" i="3"/>
  <c r="P79" i="3"/>
  <c r="O79" i="3"/>
  <c r="N79" i="3"/>
  <c r="M79" i="3"/>
  <c r="T78" i="3"/>
  <c r="S78" i="3"/>
  <c r="R78" i="3"/>
  <c r="Q78" i="3"/>
  <c r="P78" i="3"/>
  <c r="O78" i="3"/>
  <c r="N78" i="3"/>
  <c r="M78" i="3"/>
  <c r="T77" i="3"/>
  <c r="S77" i="3"/>
  <c r="R77" i="3"/>
  <c r="Q77" i="3"/>
  <c r="P77" i="3"/>
  <c r="O77" i="3"/>
  <c r="N77" i="3"/>
  <c r="M77" i="3"/>
  <c r="T76" i="3"/>
  <c r="S76" i="3"/>
  <c r="R76" i="3"/>
  <c r="Q76" i="3"/>
  <c r="P76" i="3"/>
  <c r="O76" i="3"/>
  <c r="N76" i="3"/>
  <c r="M76" i="3"/>
  <c r="T75" i="3"/>
  <c r="S75" i="3"/>
  <c r="R75" i="3"/>
  <c r="Q75" i="3"/>
  <c r="P75" i="3"/>
  <c r="O75" i="3"/>
  <c r="N75" i="3"/>
  <c r="M75" i="3"/>
  <c r="T74" i="3"/>
  <c r="S74" i="3"/>
  <c r="R74" i="3"/>
  <c r="Q74" i="3"/>
  <c r="P74" i="3"/>
  <c r="O74" i="3"/>
  <c r="N74" i="3"/>
  <c r="M74" i="3"/>
  <c r="T73" i="3"/>
  <c r="S73" i="3"/>
  <c r="R73" i="3"/>
  <c r="Q73" i="3"/>
  <c r="P73" i="3"/>
  <c r="O73" i="3"/>
  <c r="N73" i="3"/>
  <c r="M73" i="3"/>
  <c r="T72" i="3"/>
  <c r="S72" i="3"/>
  <c r="R72" i="3"/>
  <c r="Q72" i="3"/>
  <c r="P72" i="3"/>
  <c r="O72" i="3"/>
  <c r="N72" i="3"/>
  <c r="M72" i="3"/>
  <c r="T71" i="3"/>
  <c r="S71" i="3"/>
  <c r="R71" i="3"/>
  <c r="Q71" i="3"/>
  <c r="P71" i="3"/>
  <c r="O71" i="3"/>
  <c r="N71" i="3"/>
  <c r="M71" i="3"/>
  <c r="T70" i="3"/>
  <c r="S70" i="3"/>
  <c r="R70" i="3"/>
  <c r="Q70" i="3"/>
  <c r="P70" i="3"/>
  <c r="O70" i="3"/>
  <c r="N70" i="3"/>
  <c r="M70" i="3"/>
  <c r="T69" i="3"/>
  <c r="S69" i="3"/>
  <c r="R69" i="3"/>
  <c r="Q69" i="3"/>
  <c r="P69" i="3"/>
  <c r="O69" i="3"/>
  <c r="N69" i="3"/>
  <c r="M69" i="3"/>
  <c r="T68" i="3"/>
  <c r="S68" i="3"/>
  <c r="R68" i="3"/>
  <c r="Q68" i="3"/>
  <c r="P68" i="3"/>
  <c r="O68" i="3"/>
  <c r="N68" i="3"/>
  <c r="M68" i="3"/>
  <c r="T67" i="3"/>
  <c r="S67" i="3"/>
  <c r="R67" i="3"/>
  <c r="Q67" i="3"/>
  <c r="P67" i="3"/>
  <c r="O67" i="3"/>
  <c r="N67" i="3"/>
  <c r="M67" i="3"/>
  <c r="T66" i="3"/>
  <c r="S66" i="3"/>
  <c r="R66" i="3"/>
  <c r="Q66" i="3"/>
  <c r="P66" i="3"/>
  <c r="O66" i="3"/>
  <c r="N66" i="3"/>
  <c r="M66" i="3"/>
  <c r="T65" i="3"/>
  <c r="S65" i="3"/>
  <c r="R65" i="3"/>
  <c r="Q65" i="3"/>
  <c r="P65" i="3"/>
  <c r="O65" i="3"/>
  <c r="N65" i="3"/>
  <c r="M65" i="3"/>
  <c r="T64" i="3"/>
  <c r="S64" i="3"/>
  <c r="R64" i="3"/>
  <c r="Q64" i="3"/>
  <c r="P64" i="3"/>
  <c r="O64" i="3"/>
  <c r="N64" i="3"/>
  <c r="M64" i="3"/>
  <c r="T63" i="3"/>
  <c r="S63" i="3"/>
  <c r="R63" i="3"/>
  <c r="Q63" i="3"/>
  <c r="P63" i="3"/>
  <c r="O63" i="3"/>
  <c r="N63" i="3"/>
  <c r="M63" i="3"/>
  <c r="T62" i="3"/>
  <c r="S62" i="3"/>
  <c r="R62" i="3"/>
  <c r="Q62" i="3"/>
  <c r="P62" i="3"/>
  <c r="O62" i="3"/>
  <c r="N62" i="3"/>
  <c r="M62" i="3"/>
  <c r="T61" i="3"/>
  <c r="S61" i="3"/>
  <c r="R61" i="3"/>
  <c r="Q61" i="3"/>
  <c r="P61" i="3"/>
  <c r="O61" i="3"/>
  <c r="N61" i="3"/>
  <c r="M61" i="3"/>
  <c r="T60" i="3"/>
  <c r="S60" i="3"/>
  <c r="R60" i="3"/>
  <c r="Q60" i="3"/>
  <c r="P60" i="3"/>
  <c r="O60" i="3"/>
  <c r="N60" i="3"/>
  <c r="M60" i="3"/>
  <c r="T59" i="3"/>
  <c r="S59" i="3"/>
  <c r="R59" i="3"/>
  <c r="Q59" i="3"/>
  <c r="P59" i="3"/>
  <c r="O59" i="3"/>
  <c r="N59" i="3"/>
  <c r="M59" i="3"/>
  <c r="T58" i="3"/>
  <c r="S58" i="3"/>
  <c r="R58" i="3"/>
  <c r="Q58" i="3"/>
  <c r="P58" i="3"/>
  <c r="O58" i="3"/>
  <c r="N58" i="3"/>
  <c r="M58" i="3"/>
  <c r="T57" i="3"/>
  <c r="S57" i="3"/>
  <c r="R57" i="3"/>
  <c r="Q57" i="3"/>
  <c r="P57" i="3"/>
  <c r="O57" i="3"/>
  <c r="N57" i="3"/>
  <c r="M57" i="3"/>
  <c r="T56" i="3"/>
  <c r="S56" i="3"/>
  <c r="R56" i="3"/>
  <c r="Q56" i="3"/>
  <c r="P56" i="3"/>
  <c r="O56" i="3"/>
  <c r="N56" i="3"/>
  <c r="M56" i="3"/>
  <c r="T55" i="3"/>
  <c r="S55" i="3"/>
  <c r="R55" i="3"/>
  <c r="Q55" i="3"/>
  <c r="P55" i="3"/>
  <c r="O55" i="3"/>
  <c r="N55" i="3"/>
  <c r="M55" i="3"/>
  <c r="T54" i="3"/>
  <c r="S54" i="3"/>
  <c r="R54" i="3"/>
  <c r="Q54" i="3"/>
  <c r="P54" i="3"/>
  <c r="O54" i="3"/>
  <c r="N54" i="3"/>
  <c r="M54" i="3"/>
  <c r="T53" i="3"/>
  <c r="S53" i="3"/>
  <c r="R53" i="3"/>
  <c r="Q53" i="3"/>
  <c r="P53" i="3"/>
  <c r="O53" i="3"/>
  <c r="N53" i="3"/>
  <c r="M53" i="3"/>
  <c r="T52" i="3"/>
  <c r="S52" i="3"/>
  <c r="R52" i="3"/>
  <c r="Q52" i="3"/>
  <c r="P52" i="3"/>
  <c r="O52" i="3"/>
  <c r="N52" i="3"/>
  <c r="M52" i="3"/>
  <c r="T51" i="3"/>
  <c r="S51" i="3"/>
  <c r="R51" i="3"/>
  <c r="Q51" i="3"/>
  <c r="P51" i="3"/>
  <c r="O51" i="3"/>
  <c r="N51" i="3"/>
  <c r="M51" i="3"/>
  <c r="T50" i="3"/>
  <c r="S50" i="3"/>
  <c r="R50" i="3"/>
  <c r="Q50" i="3"/>
  <c r="P50" i="3"/>
  <c r="O50" i="3"/>
  <c r="N50" i="3"/>
  <c r="M50" i="3"/>
  <c r="T49" i="3"/>
  <c r="S49" i="3"/>
  <c r="R49" i="3"/>
  <c r="Q49" i="3"/>
  <c r="P49" i="3"/>
  <c r="O49" i="3"/>
  <c r="N49" i="3"/>
  <c r="M49" i="3"/>
  <c r="T48" i="3"/>
  <c r="S48" i="3"/>
  <c r="R48" i="3"/>
  <c r="Q48" i="3"/>
  <c r="P48" i="3"/>
  <c r="O48" i="3"/>
  <c r="N48" i="3"/>
  <c r="M48" i="3"/>
  <c r="T47" i="3"/>
  <c r="S47" i="3"/>
  <c r="R47" i="3"/>
  <c r="Q47" i="3"/>
  <c r="P47" i="3"/>
  <c r="O47" i="3"/>
  <c r="N47" i="3"/>
  <c r="M47" i="3"/>
  <c r="T46" i="3"/>
  <c r="S46" i="3"/>
  <c r="R46" i="3"/>
  <c r="Q46" i="3"/>
  <c r="P46" i="3"/>
  <c r="O46" i="3"/>
  <c r="N46" i="3"/>
  <c r="M46" i="3"/>
  <c r="T45" i="3"/>
  <c r="S45" i="3"/>
  <c r="R45" i="3"/>
  <c r="Q45" i="3"/>
  <c r="P45" i="3"/>
  <c r="O45" i="3"/>
  <c r="N45" i="3"/>
  <c r="M45" i="3"/>
  <c r="T44" i="3"/>
  <c r="S44" i="3"/>
  <c r="R44" i="3"/>
  <c r="Q44" i="3"/>
  <c r="P44" i="3"/>
  <c r="O44" i="3"/>
  <c r="N44" i="3"/>
  <c r="M44" i="3"/>
  <c r="T43" i="3"/>
  <c r="S43" i="3"/>
  <c r="R43" i="3"/>
  <c r="Q43" i="3"/>
  <c r="P43" i="3"/>
  <c r="O43" i="3"/>
  <c r="N43" i="3"/>
  <c r="M43" i="3"/>
  <c r="T42" i="3"/>
  <c r="S42" i="3"/>
  <c r="R42" i="3"/>
  <c r="Q42" i="3"/>
  <c r="P42" i="3"/>
  <c r="O42" i="3"/>
  <c r="N42" i="3"/>
  <c r="M42" i="3"/>
  <c r="T41" i="3"/>
  <c r="S41" i="3"/>
  <c r="R41" i="3"/>
  <c r="Q41" i="3"/>
  <c r="P41" i="3"/>
  <c r="O41" i="3"/>
  <c r="N41" i="3"/>
  <c r="M41" i="3"/>
  <c r="T40" i="3"/>
  <c r="S40" i="3"/>
  <c r="R40" i="3"/>
  <c r="Q40" i="3"/>
  <c r="P40" i="3"/>
  <c r="O40" i="3"/>
  <c r="N40" i="3"/>
  <c r="M40" i="3"/>
  <c r="T39" i="3"/>
  <c r="S39" i="3"/>
  <c r="R39" i="3"/>
  <c r="Q39" i="3"/>
  <c r="P39" i="3"/>
  <c r="O39" i="3"/>
  <c r="N39" i="3"/>
  <c r="M39" i="3"/>
  <c r="T38" i="3"/>
  <c r="S38" i="3"/>
  <c r="R38" i="3"/>
  <c r="Q38" i="3"/>
  <c r="P38" i="3"/>
  <c r="O38" i="3"/>
  <c r="N38" i="3"/>
  <c r="M38" i="3"/>
  <c r="T37" i="3"/>
  <c r="S37" i="3"/>
  <c r="R37" i="3"/>
  <c r="Q37" i="3"/>
  <c r="P37" i="3"/>
  <c r="O37" i="3"/>
  <c r="N37" i="3"/>
  <c r="M37" i="3"/>
  <c r="T36" i="3"/>
  <c r="S36" i="3"/>
  <c r="R36" i="3"/>
  <c r="Q36" i="3"/>
  <c r="P36" i="3"/>
  <c r="O36" i="3"/>
  <c r="N36" i="3"/>
  <c r="M36" i="3"/>
  <c r="T35" i="3"/>
  <c r="S35" i="3"/>
  <c r="Q35" i="3"/>
  <c r="P35" i="3"/>
  <c r="O35" i="3"/>
  <c r="M35" i="3"/>
  <c r="T34" i="3"/>
  <c r="S34" i="3"/>
  <c r="R34" i="3"/>
  <c r="Q34" i="3"/>
  <c r="P34" i="3"/>
  <c r="O34" i="3"/>
  <c r="N34" i="3"/>
  <c r="M34" i="3"/>
  <c r="T33" i="3"/>
  <c r="S33" i="3"/>
  <c r="R33" i="3"/>
  <c r="Q33" i="3"/>
  <c r="P33" i="3"/>
  <c r="O33" i="3"/>
  <c r="N33" i="3"/>
  <c r="M33" i="3"/>
  <c r="T32" i="3"/>
  <c r="S32" i="3"/>
  <c r="R32" i="3"/>
  <c r="Q32" i="3"/>
  <c r="P32" i="3"/>
  <c r="O32" i="3"/>
  <c r="N32" i="3"/>
  <c r="M32" i="3"/>
  <c r="T31" i="3"/>
  <c r="S31" i="3"/>
  <c r="R31" i="3"/>
  <c r="Q31" i="3"/>
  <c r="P31" i="3"/>
  <c r="O31" i="3"/>
  <c r="N31" i="3"/>
  <c r="M31" i="3"/>
  <c r="T30" i="3"/>
  <c r="S30" i="3"/>
  <c r="R30" i="3"/>
  <c r="Q30" i="3"/>
  <c r="P30" i="3"/>
  <c r="O30" i="3"/>
  <c r="N30" i="3"/>
  <c r="M30" i="3"/>
  <c r="T29" i="3"/>
  <c r="S29" i="3"/>
  <c r="R29" i="3"/>
  <c r="Q29" i="3"/>
  <c r="P29" i="3"/>
  <c r="O29" i="3"/>
  <c r="N29" i="3"/>
  <c r="M29" i="3"/>
  <c r="T28" i="3"/>
  <c r="S28" i="3"/>
  <c r="R28" i="3"/>
  <c r="Q28" i="3"/>
  <c r="P28" i="3"/>
  <c r="O28" i="3"/>
  <c r="N28" i="3"/>
  <c r="M28" i="3"/>
  <c r="T27" i="3"/>
  <c r="S27" i="3"/>
  <c r="R27" i="3"/>
  <c r="Q27" i="3"/>
  <c r="P27" i="3"/>
  <c r="O27" i="3"/>
  <c r="N27" i="3"/>
  <c r="M27" i="3"/>
  <c r="T26" i="3"/>
  <c r="S26" i="3"/>
  <c r="R26" i="3"/>
  <c r="Q26" i="3"/>
  <c r="P26" i="3"/>
  <c r="O26" i="3"/>
  <c r="N26" i="3"/>
  <c r="M26" i="3"/>
  <c r="T25" i="3"/>
  <c r="S25" i="3"/>
  <c r="R25" i="3"/>
  <c r="Q25" i="3"/>
  <c r="P25" i="3"/>
  <c r="O25" i="3"/>
  <c r="N25" i="3"/>
  <c r="M25" i="3"/>
  <c r="T24" i="3"/>
  <c r="S24" i="3"/>
  <c r="R24" i="3"/>
  <c r="Q24" i="3"/>
  <c r="P24" i="3"/>
  <c r="O24" i="3"/>
  <c r="N24" i="3"/>
  <c r="M24" i="3"/>
  <c r="T23" i="3"/>
  <c r="S23" i="3"/>
  <c r="R23" i="3"/>
  <c r="Q23" i="3"/>
  <c r="P23" i="3"/>
  <c r="O23" i="3"/>
  <c r="N23" i="3"/>
  <c r="M23" i="3"/>
  <c r="T22" i="3"/>
  <c r="S22" i="3"/>
  <c r="Q22" i="3"/>
  <c r="P22" i="3"/>
  <c r="O22" i="3"/>
  <c r="N22" i="3"/>
  <c r="M22" i="3"/>
  <c r="T21" i="3"/>
  <c r="S21" i="3"/>
  <c r="R21" i="3"/>
  <c r="Q21" i="3"/>
  <c r="P21" i="3"/>
  <c r="O21" i="3"/>
  <c r="N21" i="3"/>
  <c r="M21" i="3"/>
  <c r="T20" i="3"/>
  <c r="S20" i="3"/>
  <c r="R20" i="3"/>
  <c r="Q20" i="3"/>
  <c r="P20" i="3"/>
  <c r="O20" i="3"/>
  <c r="N20" i="3"/>
  <c r="M20" i="3"/>
  <c r="T19" i="3"/>
  <c r="S19" i="3"/>
  <c r="R19" i="3"/>
  <c r="Q19" i="3"/>
  <c r="P19" i="3"/>
  <c r="O19" i="3"/>
  <c r="N19" i="3"/>
  <c r="M19" i="3"/>
  <c r="T18" i="3"/>
  <c r="S18" i="3"/>
  <c r="R18" i="3"/>
  <c r="Q18" i="3"/>
  <c r="P18" i="3"/>
  <c r="O18" i="3"/>
  <c r="N18" i="3"/>
  <c r="M18" i="3"/>
  <c r="T17" i="3"/>
  <c r="S17" i="3"/>
  <c r="R17" i="3"/>
  <c r="Q17" i="3"/>
  <c r="P17" i="3"/>
  <c r="O17" i="3"/>
  <c r="N17" i="3"/>
  <c r="M17" i="3"/>
  <c r="T16" i="3"/>
  <c r="S16" i="3"/>
  <c r="R16" i="3"/>
  <c r="Q16" i="3"/>
  <c r="P16" i="3"/>
  <c r="O16" i="3"/>
  <c r="N16" i="3"/>
  <c r="M16" i="3"/>
  <c r="T15" i="3"/>
  <c r="S15" i="3"/>
  <c r="R15" i="3"/>
  <c r="Q15" i="3"/>
  <c r="P15" i="3"/>
  <c r="O15" i="3"/>
  <c r="N15" i="3"/>
  <c r="M15" i="3"/>
  <c r="T14" i="3"/>
  <c r="S14" i="3"/>
  <c r="R14" i="3"/>
  <c r="Q14" i="3"/>
  <c r="P14" i="3"/>
  <c r="O14" i="3"/>
  <c r="N14" i="3"/>
  <c r="M14" i="3"/>
  <c r="T13" i="3"/>
  <c r="S13" i="3"/>
  <c r="R13" i="3"/>
  <c r="Q13" i="3"/>
  <c r="P13" i="3"/>
  <c r="O13" i="3"/>
  <c r="N13" i="3"/>
  <c r="M13" i="3"/>
  <c r="T12" i="3"/>
  <c r="S12" i="3"/>
  <c r="R12" i="3"/>
  <c r="Q12" i="3"/>
  <c r="P12" i="3"/>
  <c r="O12" i="3"/>
  <c r="N12" i="3"/>
  <c r="M12" i="3"/>
  <c r="T11" i="3"/>
  <c r="S11" i="3"/>
  <c r="R11" i="3"/>
  <c r="Q11" i="3"/>
  <c r="P11" i="3"/>
  <c r="O11" i="3"/>
  <c r="N11" i="3"/>
  <c r="M11" i="3"/>
  <c r="T10" i="3"/>
  <c r="S10" i="3"/>
  <c r="R10" i="3"/>
  <c r="Q10" i="3"/>
  <c r="P10" i="3"/>
  <c r="O10" i="3"/>
  <c r="N10" i="3"/>
  <c r="M10" i="3"/>
  <c r="T9" i="3"/>
  <c r="S9" i="3"/>
  <c r="R9" i="3"/>
  <c r="Q9" i="3"/>
  <c r="P9" i="3"/>
  <c r="O9" i="3"/>
  <c r="N9" i="3"/>
  <c r="M9" i="3"/>
  <c r="T8" i="3"/>
  <c r="S8" i="3"/>
  <c r="R8" i="3"/>
  <c r="Q8" i="3"/>
  <c r="P8" i="3"/>
  <c r="O8" i="3"/>
  <c r="N8" i="3"/>
  <c r="M8" i="3"/>
  <c r="T7" i="3"/>
  <c r="S7" i="3"/>
  <c r="R7" i="3"/>
  <c r="Q7" i="3"/>
  <c r="P7" i="3"/>
  <c r="O7" i="3"/>
  <c r="N7" i="3"/>
  <c r="M7" i="3"/>
  <c r="T6" i="3"/>
  <c r="S6" i="3"/>
  <c r="R6" i="3"/>
  <c r="Q6" i="3"/>
  <c r="P6" i="3"/>
  <c r="O6" i="3"/>
  <c r="N6" i="3"/>
  <c r="M6" i="3"/>
  <c r="T5" i="3"/>
  <c r="S5" i="3"/>
  <c r="R5" i="3"/>
  <c r="Q5" i="3"/>
  <c r="P5" i="3"/>
  <c r="O5" i="3"/>
  <c r="N5" i="3"/>
  <c r="M5" i="3"/>
  <c r="T4" i="3"/>
  <c r="S4" i="3"/>
  <c r="R4" i="3"/>
  <c r="Q4" i="3"/>
  <c r="P4" i="3"/>
  <c r="O4" i="3"/>
  <c r="N4" i="3"/>
  <c r="M4" i="3"/>
  <c r="T3" i="3"/>
  <c r="S3" i="3"/>
  <c r="R3" i="3"/>
  <c r="Q3" i="3"/>
  <c r="P3" i="3"/>
  <c r="O3" i="3"/>
  <c r="N3" i="3"/>
  <c r="M3" i="3"/>
  <c r="T2" i="3"/>
  <c r="S2" i="3"/>
  <c r="R2" i="3"/>
  <c r="Q2" i="3"/>
  <c r="P2" i="3"/>
  <c r="O2" i="3"/>
  <c r="N2" i="3"/>
  <c r="A2" i="6" l="1"/>
  <c r="AO50" i="6" l="1"/>
  <c r="AM50" i="6"/>
  <c r="AK50" i="6"/>
  <c r="AI50" i="6"/>
  <c r="AG50" i="6"/>
  <c r="AE50" i="6"/>
  <c r="AC50" i="6"/>
  <c r="AA50" i="6"/>
  <c r="Y50" i="6"/>
  <c r="W50" i="6"/>
  <c r="U50" i="6"/>
  <c r="S50" i="6"/>
  <c r="Q50" i="6"/>
  <c r="O50" i="6"/>
  <c r="M50" i="6"/>
  <c r="K50" i="6"/>
  <c r="I50" i="6"/>
  <c r="G50" i="6"/>
  <c r="E50" i="6"/>
  <c r="C50" i="6"/>
  <c r="A50" i="6"/>
  <c r="AQ2" i="6"/>
  <c r="AO2" i="6"/>
  <c r="AM2" i="6"/>
  <c r="AK2" i="6"/>
  <c r="AI2" i="6"/>
  <c r="AG2" i="6"/>
  <c r="AE2" i="6"/>
  <c r="AC2" i="6"/>
  <c r="AA2" i="6"/>
  <c r="Y2" i="6"/>
  <c r="W2" i="6"/>
  <c r="U2" i="6"/>
  <c r="S2" i="6"/>
  <c r="Q2" i="6"/>
  <c r="O2" i="6"/>
  <c r="M2" i="6"/>
  <c r="K2" i="6"/>
  <c r="I2" i="6"/>
  <c r="G2" i="6"/>
  <c r="E2" i="6"/>
  <c r="C2" i="6"/>
  <c r="O3" i="6" a="1"/>
  <c r="AI3" i="6" a="1"/>
  <c r="S51" i="6" a="1"/>
  <c r="G3" i="6" a="1"/>
  <c r="E51" i="6" a="1"/>
  <c r="S3" i="6" a="1"/>
  <c r="M3" i="6" a="1"/>
  <c r="W51" i="6" a="1"/>
  <c r="AO3" i="6" a="1"/>
  <c r="AO51" i="6" a="1"/>
  <c r="A51" i="6" a="1"/>
  <c r="U51" i="6" a="1"/>
  <c r="C51" i="6" a="1"/>
  <c r="Q3" i="6" a="1"/>
  <c r="I51" i="6" a="1"/>
  <c r="Q51" i="6" a="1"/>
  <c r="AG3" i="6" a="1"/>
  <c r="AK51" i="6" a="1"/>
  <c r="AQ3" i="6" a="1"/>
  <c r="I3" i="6" a="1"/>
  <c r="Y51" i="6" a="1"/>
  <c r="AA51" i="6" a="1"/>
  <c r="M51" i="6" a="1"/>
  <c r="U3" i="6" a="1"/>
  <c r="AA3" i="6" a="1"/>
  <c r="K3" i="6" a="1"/>
  <c r="E3" i="6" a="1"/>
  <c r="AE51" i="6" a="1"/>
  <c r="W3" i="6" a="1"/>
  <c r="A3" i="10" a="1"/>
  <c r="G51" i="6" a="1"/>
  <c r="AE3" i="6" a="1"/>
  <c r="AC3" i="6" a="1"/>
  <c r="AC51" i="6" a="1"/>
  <c r="Y3" i="6" a="1"/>
  <c r="K51" i="6" a="1"/>
  <c r="AM51" i="6" a="1"/>
  <c r="AG51" i="6" a="1"/>
  <c r="AK3" i="6" a="1"/>
  <c r="D3" i="10" a="1"/>
  <c r="O51" i="6" a="1"/>
  <c r="AM3" i="6" a="1"/>
  <c r="AI51" i="6" a="1"/>
  <c r="D3" i="10" l="1"/>
  <c r="A3" i="10"/>
  <c r="AO51" i="6"/>
  <c r="AM51" i="6"/>
  <c r="AK51" i="6"/>
  <c r="AI51" i="6"/>
  <c r="AG51" i="6"/>
  <c r="AE51" i="6"/>
  <c r="AC51" i="6"/>
  <c r="AA51" i="6"/>
  <c r="Y51" i="6"/>
  <c r="W51" i="6"/>
  <c r="U51" i="6"/>
  <c r="S51" i="6"/>
  <c r="Q51" i="6"/>
  <c r="O51" i="6"/>
  <c r="M51" i="6"/>
  <c r="K51" i="6"/>
  <c r="I51" i="6"/>
  <c r="G51" i="6"/>
  <c r="E51" i="6"/>
  <c r="C51" i="6"/>
  <c r="A51" i="6"/>
  <c r="AQ3" i="6"/>
  <c r="AO3" i="6"/>
  <c r="AM3" i="6"/>
  <c r="AK3" i="6"/>
  <c r="AI3" i="6"/>
  <c r="AG3" i="6"/>
  <c r="AE3" i="6"/>
  <c r="AC3" i="6"/>
  <c r="AA3" i="6"/>
  <c r="Y3" i="6"/>
  <c r="W3" i="6"/>
  <c r="U3" i="6"/>
  <c r="S3" i="6"/>
  <c r="Q3" i="6"/>
  <c r="O3" i="6"/>
  <c r="M3" i="6"/>
  <c r="K3" i="6"/>
  <c r="I3" i="6"/>
  <c r="G3" i="6"/>
  <c r="E3" i="6"/>
  <c r="T133" i="8" l="1"/>
  <c r="S133" i="8"/>
  <c r="R133" i="8"/>
  <c r="Q133" i="8"/>
  <c r="P133" i="8"/>
  <c r="O133" i="8"/>
  <c r="N133" i="8"/>
  <c r="M133" i="8"/>
  <c r="T132" i="8"/>
  <c r="S132" i="8"/>
  <c r="R132" i="8"/>
  <c r="Q132" i="8"/>
  <c r="P132" i="8"/>
  <c r="O132" i="8"/>
  <c r="N132" i="8"/>
  <c r="M132" i="8"/>
  <c r="T131" i="8"/>
  <c r="S131" i="8"/>
  <c r="R131" i="8"/>
  <c r="Q131" i="8"/>
  <c r="P131" i="8"/>
  <c r="O131" i="8"/>
  <c r="N131" i="8"/>
  <c r="M131" i="8"/>
  <c r="T130" i="8"/>
  <c r="S130" i="8"/>
  <c r="R130" i="8"/>
  <c r="Q130" i="8"/>
  <c r="P130" i="8"/>
  <c r="O130" i="8"/>
  <c r="N130" i="8"/>
  <c r="M130" i="8"/>
  <c r="T129" i="8"/>
  <c r="S129" i="8"/>
  <c r="R129" i="8"/>
  <c r="Q129" i="8"/>
  <c r="P129" i="8"/>
  <c r="O129" i="8"/>
  <c r="N129" i="8"/>
  <c r="M129" i="8"/>
  <c r="T128" i="8"/>
  <c r="S128" i="8"/>
  <c r="R128" i="8"/>
  <c r="Q128" i="8"/>
  <c r="P128" i="8"/>
  <c r="O128" i="8"/>
  <c r="N128" i="8"/>
  <c r="M128" i="8"/>
  <c r="T127" i="8"/>
  <c r="S127" i="8"/>
  <c r="R127" i="8"/>
  <c r="Q127" i="8"/>
  <c r="P127" i="8"/>
  <c r="O127" i="8"/>
  <c r="N127" i="8"/>
  <c r="M127" i="8"/>
  <c r="T126" i="8"/>
  <c r="S126" i="8"/>
  <c r="R126" i="8"/>
  <c r="Q126" i="8"/>
  <c r="P126" i="8"/>
  <c r="O126" i="8"/>
  <c r="N126" i="8"/>
  <c r="M126" i="8"/>
  <c r="T125" i="8"/>
  <c r="S125" i="8"/>
  <c r="R125" i="8"/>
  <c r="Q125" i="8"/>
  <c r="P125" i="8"/>
  <c r="O125" i="8"/>
  <c r="N125" i="8"/>
  <c r="M125" i="8"/>
  <c r="T124" i="8"/>
  <c r="S124" i="8"/>
  <c r="R124" i="8"/>
  <c r="Q124" i="8"/>
  <c r="P124" i="8"/>
  <c r="O124" i="8"/>
  <c r="N124" i="8"/>
  <c r="M124" i="8"/>
  <c r="T123" i="8"/>
  <c r="S123" i="8"/>
  <c r="R123" i="8"/>
  <c r="Q123" i="8"/>
  <c r="P123" i="8"/>
  <c r="O123" i="8"/>
  <c r="N123" i="8"/>
  <c r="M123" i="8"/>
  <c r="T122" i="8"/>
  <c r="S122" i="8"/>
  <c r="R122" i="8"/>
  <c r="Q122" i="8"/>
  <c r="P122" i="8"/>
  <c r="O122" i="8"/>
  <c r="N122" i="8"/>
  <c r="M122" i="8"/>
  <c r="T121" i="8"/>
  <c r="S121" i="8"/>
  <c r="R121" i="8"/>
  <c r="Q121" i="8"/>
  <c r="P121" i="8"/>
  <c r="O121" i="8"/>
  <c r="N121" i="8"/>
  <c r="M121" i="8"/>
  <c r="T120" i="8"/>
  <c r="S120" i="8"/>
  <c r="R120" i="8"/>
  <c r="Q120" i="8"/>
  <c r="P120" i="8"/>
  <c r="O120" i="8"/>
  <c r="N120" i="8"/>
  <c r="M120" i="8"/>
  <c r="T119" i="8"/>
  <c r="S119" i="8"/>
  <c r="R119" i="8"/>
  <c r="Q119" i="8"/>
  <c r="P119" i="8"/>
  <c r="O119" i="8"/>
  <c r="N119" i="8"/>
  <c r="M119" i="8"/>
  <c r="T118" i="8"/>
  <c r="S118" i="8"/>
  <c r="R118" i="8"/>
  <c r="Q118" i="8"/>
  <c r="P118" i="8"/>
  <c r="O118" i="8"/>
  <c r="N118" i="8"/>
  <c r="M118" i="8"/>
  <c r="T117" i="8"/>
  <c r="S117" i="8"/>
  <c r="R117" i="8"/>
  <c r="Q117" i="8"/>
  <c r="P117" i="8"/>
  <c r="O117" i="8"/>
  <c r="N117" i="8"/>
  <c r="M117" i="8"/>
  <c r="T116" i="8"/>
  <c r="S116" i="8"/>
  <c r="R116" i="8"/>
  <c r="Q116" i="8"/>
  <c r="P116" i="8"/>
  <c r="O116" i="8"/>
  <c r="N116" i="8"/>
  <c r="M116" i="8"/>
  <c r="T115" i="8"/>
  <c r="S115" i="8"/>
  <c r="R115" i="8"/>
  <c r="Q115" i="8"/>
  <c r="P115" i="8"/>
  <c r="O115" i="8"/>
  <c r="N115" i="8"/>
  <c r="M115" i="8"/>
  <c r="T114" i="8"/>
  <c r="S114" i="8"/>
  <c r="R114" i="8"/>
  <c r="Q114" i="8"/>
  <c r="P114" i="8"/>
  <c r="O114" i="8"/>
  <c r="N114" i="8"/>
  <c r="M114" i="8"/>
  <c r="T113" i="8"/>
  <c r="S113" i="8"/>
  <c r="R113" i="8"/>
  <c r="Q113" i="8"/>
  <c r="P113" i="8"/>
  <c r="O113" i="8"/>
  <c r="N113" i="8"/>
  <c r="M113" i="8"/>
  <c r="T112" i="8"/>
  <c r="S112" i="8"/>
  <c r="R112" i="8"/>
  <c r="Q112" i="8"/>
  <c r="P112" i="8"/>
  <c r="O112" i="8"/>
  <c r="N112" i="8"/>
  <c r="M112" i="8"/>
  <c r="T111" i="8"/>
  <c r="S111" i="8"/>
  <c r="R111" i="8"/>
  <c r="Q111" i="8"/>
  <c r="P111" i="8"/>
  <c r="O111" i="8"/>
  <c r="N111" i="8"/>
  <c r="M111" i="8"/>
  <c r="T110" i="8"/>
  <c r="S110" i="8"/>
  <c r="R110" i="8"/>
  <c r="Q110" i="8"/>
  <c r="P110" i="8"/>
  <c r="O110" i="8"/>
  <c r="N110" i="8"/>
  <c r="M110" i="8"/>
  <c r="T109" i="8"/>
  <c r="S109" i="8"/>
  <c r="R109" i="8"/>
  <c r="Q109" i="8"/>
  <c r="P109" i="8"/>
  <c r="O109" i="8"/>
  <c r="N109" i="8"/>
  <c r="M109" i="8"/>
  <c r="T108" i="8"/>
  <c r="S108" i="8"/>
  <c r="R108" i="8"/>
  <c r="Q108" i="8"/>
  <c r="P108" i="8"/>
  <c r="O108" i="8"/>
  <c r="N108" i="8"/>
  <c r="M108" i="8"/>
  <c r="T107" i="8"/>
  <c r="S107" i="8"/>
  <c r="R107" i="8"/>
  <c r="Q107" i="8"/>
  <c r="P107" i="8"/>
  <c r="O107" i="8"/>
  <c r="N107" i="8"/>
  <c r="M107" i="8"/>
  <c r="T106" i="8"/>
  <c r="S106" i="8"/>
  <c r="R106" i="8"/>
  <c r="Q106" i="8"/>
  <c r="P106" i="8"/>
  <c r="O106" i="8"/>
  <c r="N106" i="8"/>
  <c r="M106" i="8"/>
  <c r="T105" i="8"/>
  <c r="S105" i="8"/>
  <c r="R105" i="8"/>
  <c r="Q105" i="8"/>
  <c r="P105" i="8"/>
  <c r="O105" i="8"/>
  <c r="N105" i="8"/>
  <c r="M105" i="8"/>
  <c r="T104" i="8"/>
  <c r="S104" i="8"/>
  <c r="R104" i="8"/>
  <c r="Q104" i="8"/>
  <c r="P104" i="8"/>
  <c r="O104" i="8"/>
  <c r="N104" i="8"/>
  <c r="M104" i="8"/>
  <c r="T103" i="8"/>
  <c r="S103" i="8"/>
  <c r="R103" i="8"/>
  <c r="Q103" i="8"/>
  <c r="P103" i="8"/>
  <c r="O103" i="8"/>
  <c r="N103" i="8"/>
  <c r="M103" i="8"/>
  <c r="T102" i="8"/>
  <c r="S102" i="8"/>
  <c r="R102" i="8"/>
  <c r="Q102" i="8"/>
  <c r="P102" i="8"/>
  <c r="O102" i="8"/>
  <c r="N102" i="8"/>
  <c r="M102" i="8"/>
  <c r="T101" i="8"/>
  <c r="S101" i="8"/>
  <c r="R101" i="8"/>
  <c r="Q101" i="8"/>
  <c r="P101" i="8"/>
  <c r="O101" i="8"/>
  <c r="N101" i="8"/>
  <c r="M101" i="8"/>
  <c r="T100" i="8"/>
  <c r="S100" i="8"/>
  <c r="R100" i="8"/>
  <c r="Q100" i="8"/>
  <c r="P100" i="8"/>
  <c r="O100" i="8"/>
  <c r="N100" i="8"/>
  <c r="M100" i="8"/>
  <c r="T99" i="8"/>
  <c r="S99" i="8"/>
  <c r="R99" i="8"/>
  <c r="Q99" i="8"/>
  <c r="P99" i="8"/>
  <c r="O99" i="8"/>
  <c r="N99" i="8"/>
  <c r="M99" i="8"/>
  <c r="T98" i="8"/>
  <c r="S98" i="8"/>
  <c r="R98" i="8"/>
  <c r="Q98" i="8"/>
  <c r="P98" i="8"/>
  <c r="O98" i="8"/>
  <c r="N98" i="8"/>
  <c r="M98" i="8"/>
  <c r="T97" i="8"/>
  <c r="S97" i="8"/>
  <c r="R97" i="8"/>
  <c r="Q97" i="8"/>
  <c r="P97" i="8"/>
  <c r="O97" i="8"/>
  <c r="N97" i="8"/>
  <c r="M97" i="8"/>
  <c r="T96" i="8"/>
  <c r="S96" i="8"/>
  <c r="R96" i="8"/>
  <c r="Q96" i="8"/>
  <c r="P96" i="8"/>
  <c r="O96" i="8"/>
  <c r="N96" i="8"/>
  <c r="M96" i="8"/>
  <c r="T95" i="8"/>
  <c r="S95" i="8"/>
  <c r="R95" i="8"/>
  <c r="Q95" i="8"/>
  <c r="P95" i="8"/>
  <c r="O95" i="8"/>
  <c r="N95" i="8"/>
  <c r="M95" i="8"/>
  <c r="T94" i="8"/>
  <c r="S94" i="8"/>
  <c r="R94" i="8"/>
  <c r="Q94" i="8"/>
  <c r="P94" i="8"/>
  <c r="O94" i="8"/>
  <c r="N94" i="8"/>
  <c r="M94" i="8"/>
  <c r="T93" i="8"/>
  <c r="S93" i="8"/>
  <c r="R93" i="8"/>
  <c r="Q93" i="8"/>
  <c r="P93" i="8"/>
  <c r="O93" i="8"/>
  <c r="N93" i="8"/>
  <c r="M93" i="8"/>
  <c r="T92" i="8"/>
  <c r="S92" i="8"/>
  <c r="R92" i="8"/>
  <c r="Q92" i="8"/>
  <c r="P92" i="8"/>
  <c r="O92" i="8"/>
  <c r="N92" i="8"/>
  <c r="M92" i="8"/>
  <c r="T91" i="8"/>
  <c r="S91" i="8"/>
  <c r="R91" i="8"/>
  <c r="Q91" i="8"/>
  <c r="P91" i="8"/>
  <c r="O91" i="8"/>
  <c r="N91" i="8"/>
  <c r="M91" i="8"/>
  <c r="T90" i="8"/>
  <c r="S90" i="8"/>
  <c r="R90" i="8"/>
  <c r="Q90" i="8"/>
  <c r="P90" i="8"/>
  <c r="O90" i="8"/>
  <c r="N90" i="8"/>
  <c r="M90" i="8"/>
  <c r="T89" i="8"/>
  <c r="S89" i="8"/>
  <c r="R89" i="8"/>
  <c r="Q89" i="8"/>
  <c r="P89" i="8"/>
  <c r="O89" i="8"/>
  <c r="N89" i="8"/>
  <c r="M89" i="8"/>
  <c r="T88" i="8"/>
  <c r="S88" i="8"/>
  <c r="R88" i="8"/>
  <c r="Q88" i="8"/>
  <c r="P88" i="8"/>
  <c r="O88" i="8"/>
  <c r="N88" i="8"/>
  <c r="M88" i="8"/>
  <c r="T87" i="8"/>
  <c r="S87" i="8"/>
  <c r="R87" i="8"/>
  <c r="Q87" i="8"/>
  <c r="P87" i="8"/>
  <c r="O87" i="8"/>
  <c r="N87" i="8"/>
  <c r="M87" i="8"/>
  <c r="T86" i="8"/>
  <c r="S86" i="8"/>
  <c r="R86" i="8"/>
  <c r="Q86" i="8"/>
  <c r="P86" i="8"/>
  <c r="O86" i="8"/>
  <c r="N86" i="8"/>
  <c r="M86" i="8"/>
  <c r="T85" i="8"/>
  <c r="S85" i="8"/>
  <c r="R85" i="8"/>
  <c r="Q85" i="8"/>
  <c r="P85" i="8"/>
  <c r="O85" i="8"/>
  <c r="N85" i="8"/>
  <c r="M85" i="8"/>
  <c r="T84" i="8"/>
  <c r="S84" i="8"/>
  <c r="R84" i="8"/>
  <c r="Q84" i="8"/>
  <c r="P84" i="8"/>
  <c r="O84" i="8"/>
  <c r="N84" i="8"/>
  <c r="M84" i="8"/>
  <c r="T83" i="8"/>
  <c r="S83" i="8"/>
  <c r="R83" i="8"/>
  <c r="Q83" i="8"/>
  <c r="P83" i="8"/>
  <c r="O83" i="8"/>
  <c r="N83" i="8"/>
  <c r="M83" i="8"/>
  <c r="T82" i="8"/>
  <c r="S82" i="8"/>
  <c r="R82" i="8"/>
  <c r="Q82" i="8"/>
  <c r="P82" i="8"/>
  <c r="O82" i="8"/>
  <c r="N82" i="8"/>
  <c r="M82" i="8"/>
  <c r="T81" i="8"/>
  <c r="S81" i="8"/>
  <c r="R81" i="8"/>
  <c r="Q81" i="8"/>
  <c r="P81" i="8"/>
  <c r="O81" i="8"/>
  <c r="N81" i="8"/>
  <c r="M81" i="8"/>
  <c r="T80" i="8"/>
  <c r="S80" i="8"/>
  <c r="R80" i="8"/>
  <c r="Q80" i="8"/>
  <c r="P80" i="8"/>
  <c r="O80" i="8"/>
  <c r="N80" i="8"/>
  <c r="M80" i="8"/>
  <c r="T79" i="8"/>
  <c r="S79" i="8"/>
  <c r="R79" i="8"/>
  <c r="Q79" i="8"/>
  <c r="P79" i="8"/>
  <c r="O79" i="8"/>
  <c r="N79" i="8"/>
  <c r="M79" i="8"/>
  <c r="T78" i="8"/>
  <c r="S78" i="8"/>
  <c r="R78" i="8"/>
  <c r="Q78" i="8"/>
  <c r="P78" i="8"/>
  <c r="O78" i="8"/>
  <c r="N78" i="8"/>
  <c r="M78" i="8"/>
  <c r="T77" i="8"/>
  <c r="S77" i="8"/>
  <c r="R77" i="8"/>
  <c r="Q77" i="8"/>
  <c r="P77" i="8"/>
  <c r="O77" i="8"/>
  <c r="N77" i="8"/>
  <c r="M77" i="8"/>
  <c r="T76" i="8"/>
  <c r="S76" i="8"/>
  <c r="R76" i="8"/>
  <c r="Q76" i="8"/>
  <c r="P76" i="8"/>
  <c r="O76" i="8"/>
  <c r="N76" i="8"/>
  <c r="M76" i="8"/>
  <c r="T75" i="8"/>
  <c r="S75" i="8"/>
  <c r="R75" i="8"/>
  <c r="Q75" i="8"/>
  <c r="P75" i="8"/>
  <c r="O75" i="8"/>
  <c r="N75" i="8"/>
  <c r="M75" i="8"/>
  <c r="T74" i="8"/>
  <c r="S74" i="8"/>
  <c r="R74" i="8"/>
  <c r="Q74" i="8"/>
  <c r="P74" i="8"/>
  <c r="O74" i="8"/>
  <c r="N74" i="8"/>
  <c r="M74" i="8"/>
  <c r="T73" i="8"/>
  <c r="S73" i="8"/>
  <c r="R73" i="8"/>
  <c r="Q73" i="8"/>
  <c r="P73" i="8"/>
  <c r="O73" i="8"/>
  <c r="N73" i="8"/>
  <c r="M73" i="8"/>
  <c r="T72" i="8"/>
  <c r="S72" i="8"/>
  <c r="R72" i="8"/>
  <c r="Q72" i="8"/>
  <c r="P72" i="8"/>
  <c r="O72" i="8"/>
  <c r="N72" i="8"/>
  <c r="M72" i="8"/>
  <c r="T71" i="8"/>
  <c r="S71" i="8"/>
  <c r="R71" i="8"/>
  <c r="Q71" i="8"/>
  <c r="P71" i="8"/>
  <c r="O71" i="8"/>
  <c r="N71" i="8"/>
  <c r="M71" i="8"/>
  <c r="T70" i="8"/>
  <c r="S70" i="8"/>
  <c r="R70" i="8"/>
  <c r="Q70" i="8"/>
  <c r="P70" i="8"/>
  <c r="O70" i="8"/>
  <c r="N70" i="8"/>
  <c r="M70" i="8"/>
  <c r="T69" i="8"/>
  <c r="S69" i="8"/>
  <c r="R69" i="8"/>
  <c r="Q69" i="8"/>
  <c r="P69" i="8"/>
  <c r="O69" i="8"/>
  <c r="N69" i="8"/>
  <c r="M69" i="8"/>
  <c r="T68" i="8"/>
  <c r="S68" i="8"/>
  <c r="R68" i="8"/>
  <c r="Q68" i="8"/>
  <c r="P68" i="8"/>
  <c r="O68" i="8"/>
  <c r="N68" i="8"/>
  <c r="M68" i="8"/>
  <c r="T67" i="8"/>
  <c r="S67" i="8"/>
  <c r="R67" i="8"/>
  <c r="Q67" i="8"/>
  <c r="P67" i="8"/>
  <c r="O67" i="8"/>
  <c r="N67" i="8"/>
  <c r="M67" i="8"/>
  <c r="T66" i="8"/>
  <c r="S66" i="8"/>
  <c r="R66" i="8"/>
  <c r="Q66" i="8"/>
  <c r="P66" i="8"/>
  <c r="O66" i="8"/>
  <c r="N66" i="8"/>
  <c r="M66" i="8"/>
  <c r="T65" i="8"/>
  <c r="S65" i="8"/>
  <c r="R65" i="8"/>
  <c r="Q65" i="8"/>
  <c r="P65" i="8"/>
  <c r="O65" i="8"/>
  <c r="N65" i="8"/>
  <c r="M65" i="8"/>
  <c r="T64" i="8"/>
  <c r="S64" i="8"/>
  <c r="R64" i="8"/>
  <c r="Q64" i="8"/>
  <c r="P64" i="8"/>
  <c r="O64" i="8"/>
  <c r="N64" i="8"/>
  <c r="M64" i="8"/>
  <c r="T63" i="8"/>
  <c r="S63" i="8"/>
  <c r="R63" i="8"/>
  <c r="Q63" i="8"/>
  <c r="P63" i="8"/>
  <c r="O63" i="8"/>
  <c r="N63" i="8"/>
  <c r="M63" i="8"/>
  <c r="T62" i="8"/>
  <c r="S62" i="8"/>
  <c r="R62" i="8"/>
  <c r="Q62" i="8"/>
  <c r="P62" i="8"/>
  <c r="O62" i="8"/>
  <c r="N62" i="8"/>
  <c r="M62" i="8"/>
  <c r="T61" i="8"/>
  <c r="S61" i="8"/>
  <c r="R61" i="8"/>
  <c r="Q61" i="8"/>
  <c r="P61" i="8"/>
  <c r="O61" i="8"/>
  <c r="N61" i="8"/>
  <c r="M61" i="8"/>
  <c r="T60" i="8"/>
  <c r="S60" i="8"/>
  <c r="R60" i="8"/>
  <c r="Q60" i="8"/>
  <c r="P60" i="8"/>
  <c r="O60" i="8"/>
  <c r="N60" i="8"/>
  <c r="M60" i="8"/>
  <c r="T59" i="8"/>
  <c r="S59" i="8"/>
  <c r="R59" i="8"/>
  <c r="Q59" i="8"/>
  <c r="P59" i="8"/>
  <c r="O59" i="8"/>
  <c r="N59" i="8"/>
  <c r="M59" i="8"/>
  <c r="T58" i="8"/>
  <c r="S58" i="8"/>
  <c r="R58" i="8"/>
  <c r="Q58" i="8"/>
  <c r="P58" i="8"/>
  <c r="O58" i="8"/>
  <c r="N58" i="8"/>
  <c r="M58" i="8"/>
  <c r="T57" i="8"/>
  <c r="S57" i="8"/>
  <c r="R57" i="8"/>
  <c r="Q57" i="8"/>
  <c r="P57" i="8"/>
  <c r="O57" i="8"/>
  <c r="N57" i="8"/>
  <c r="M57" i="8"/>
  <c r="T56" i="8"/>
  <c r="S56" i="8"/>
  <c r="R56" i="8"/>
  <c r="Q56" i="8"/>
  <c r="P56" i="8"/>
  <c r="O56" i="8"/>
  <c r="N56" i="8"/>
  <c r="M56" i="8"/>
  <c r="T55" i="8"/>
  <c r="S55" i="8"/>
  <c r="R55" i="8"/>
  <c r="Q55" i="8"/>
  <c r="P55" i="8"/>
  <c r="O55" i="8"/>
  <c r="N55" i="8"/>
  <c r="M55" i="8"/>
  <c r="T54" i="8"/>
  <c r="S54" i="8"/>
  <c r="R54" i="8"/>
  <c r="Q54" i="8"/>
  <c r="P54" i="8"/>
  <c r="O54" i="8"/>
  <c r="N54" i="8"/>
  <c r="M54" i="8"/>
  <c r="T53" i="8"/>
  <c r="S53" i="8"/>
  <c r="R53" i="8"/>
  <c r="Q53" i="8"/>
  <c r="P53" i="8"/>
  <c r="O53" i="8"/>
  <c r="N53" i="8"/>
  <c r="M53" i="8"/>
  <c r="T52" i="8"/>
  <c r="S52" i="8"/>
  <c r="R52" i="8"/>
  <c r="Q52" i="8"/>
  <c r="P52" i="8"/>
  <c r="O52" i="8"/>
  <c r="N52" i="8"/>
  <c r="M52" i="8"/>
  <c r="T51" i="8"/>
  <c r="S51" i="8"/>
  <c r="R51" i="8"/>
  <c r="Q51" i="8"/>
  <c r="P51" i="8"/>
  <c r="O51" i="8"/>
  <c r="N51" i="8"/>
  <c r="M51" i="8"/>
  <c r="T50" i="8"/>
  <c r="S50" i="8"/>
  <c r="R50" i="8"/>
  <c r="Q50" i="8"/>
  <c r="P50" i="8"/>
  <c r="O50" i="8"/>
  <c r="N50" i="8"/>
  <c r="M50" i="8"/>
  <c r="T49" i="8"/>
  <c r="S49" i="8"/>
  <c r="R49" i="8"/>
  <c r="Q49" i="8"/>
  <c r="P49" i="8"/>
  <c r="O49" i="8"/>
  <c r="N49" i="8"/>
  <c r="M49" i="8"/>
  <c r="T48" i="8"/>
  <c r="S48" i="8"/>
  <c r="R48" i="8"/>
  <c r="Q48" i="8"/>
  <c r="P48" i="8"/>
  <c r="O48" i="8"/>
  <c r="N48" i="8"/>
  <c r="M48" i="8"/>
  <c r="T47" i="8"/>
  <c r="S47" i="8"/>
  <c r="R47" i="8"/>
  <c r="Q47" i="8"/>
  <c r="P47" i="8"/>
  <c r="O47" i="8"/>
  <c r="N47" i="8"/>
  <c r="M47" i="8"/>
  <c r="T46" i="8"/>
  <c r="S46" i="8"/>
  <c r="R46" i="8"/>
  <c r="Q46" i="8"/>
  <c r="P46" i="8"/>
  <c r="O46" i="8"/>
  <c r="N46" i="8"/>
  <c r="M46" i="8"/>
  <c r="T45" i="8"/>
  <c r="S45" i="8"/>
  <c r="R45" i="8"/>
  <c r="Q45" i="8"/>
  <c r="P45" i="8"/>
  <c r="O45" i="8"/>
  <c r="N45" i="8"/>
  <c r="M45" i="8"/>
  <c r="T44" i="8"/>
  <c r="S44" i="8"/>
  <c r="R44" i="8"/>
  <c r="Q44" i="8"/>
  <c r="P44" i="8"/>
  <c r="O44" i="8"/>
  <c r="N44" i="8"/>
  <c r="M44" i="8"/>
  <c r="T43" i="8"/>
  <c r="S43" i="8"/>
  <c r="R43" i="8"/>
  <c r="Q43" i="8"/>
  <c r="P43" i="8"/>
  <c r="O43" i="8"/>
  <c r="N43" i="8"/>
  <c r="M43" i="8"/>
  <c r="T42" i="8"/>
  <c r="S42" i="8"/>
  <c r="R42" i="8"/>
  <c r="Q42" i="8"/>
  <c r="P42" i="8"/>
  <c r="O42" i="8"/>
  <c r="N42" i="8"/>
  <c r="M42" i="8"/>
  <c r="T41" i="8"/>
  <c r="S41" i="8"/>
  <c r="R41" i="8"/>
  <c r="Q41" i="8"/>
  <c r="P41" i="8"/>
  <c r="O41" i="8"/>
  <c r="N41" i="8"/>
  <c r="M41" i="8"/>
  <c r="T40" i="8"/>
  <c r="S40" i="8"/>
  <c r="R40" i="8"/>
  <c r="Q40" i="8"/>
  <c r="P40" i="8"/>
  <c r="O40" i="8"/>
  <c r="N40" i="8"/>
  <c r="M40" i="8"/>
  <c r="T39" i="8"/>
  <c r="S39" i="8"/>
  <c r="R39" i="8"/>
  <c r="Q39" i="8"/>
  <c r="P39" i="8"/>
  <c r="O39" i="8"/>
  <c r="N39" i="8"/>
  <c r="M39" i="8"/>
  <c r="T38" i="8"/>
  <c r="S38" i="8"/>
  <c r="R38" i="8"/>
  <c r="Q38" i="8"/>
  <c r="P38" i="8"/>
  <c r="O38" i="8"/>
  <c r="N38" i="8"/>
  <c r="M38" i="8"/>
  <c r="T37" i="8"/>
  <c r="S37" i="8"/>
  <c r="R37" i="8"/>
  <c r="Q37" i="8"/>
  <c r="P37" i="8"/>
  <c r="O37" i="8"/>
  <c r="N37" i="8"/>
  <c r="M37" i="8"/>
  <c r="T36" i="8"/>
  <c r="S36" i="8"/>
  <c r="R36" i="8"/>
  <c r="Q36" i="8"/>
  <c r="P36" i="8"/>
  <c r="O36" i="8"/>
  <c r="N36" i="8"/>
  <c r="M36" i="8"/>
  <c r="T35" i="8"/>
  <c r="S35" i="8"/>
  <c r="R35" i="8"/>
  <c r="Q35" i="8"/>
  <c r="P35" i="8"/>
  <c r="O35" i="8"/>
  <c r="N35" i="8"/>
  <c r="M35" i="8"/>
  <c r="T34" i="8"/>
  <c r="S34" i="8"/>
  <c r="R34" i="8"/>
  <c r="Q34" i="8"/>
  <c r="P34" i="8"/>
  <c r="O34" i="8"/>
  <c r="N34" i="8"/>
  <c r="M34" i="8"/>
  <c r="T33" i="8"/>
  <c r="S33" i="8"/>
  <c r="R33" i="8"/>
  <c r="Q33" i="8"/>
  <c r="P33" i="8"/>
  <c r="O33" i="8"/>
  <c r="N33" i="8"/>
  <c r="M33" i="8"/>
  <c r="T32" i="8"/>
  <c r="S32" i="8"/>
  <c r="R32" i="8"/>
  <c r="Q32" i="8"/>
  <c r="P32" i="8"/>
  <c r="O32" i="8"/>
  <c r="N32" i="8"/>
  <c r="M32" i="8"/>
  <c r="T31" i="8"/>
  <c r="S31" i="8"/>
  <c r="R31" i="8"/>
  <c r="Q31" i="8"/>
  <c r="P31" i="8"/>
  <c r="O31" i="8"/>
  <c r="N31" i="8"/>
  <c r="M31" i="8"/>
  <c r="T30" i="8"/>
  <c r="S30" i="8"/>
  <c r="R30" i="8"/>
  <c r="Q30" i="8"/>
  <c r="P30" i="8"/>
  <c r="O30" i="8"/>
  <c r="N30" i="8"/>
  <c r="M30" i="8"/>
  <c r="T29" i="8"/>
  <c r="S29" i="8"/>
  <c r="R29" i="8"/>
  <c r="Q29" i="8"/>
  <c r="P29" i="8"/>
  <c r="O29" i="8"/>
  <c r="N29" i="8"/>
  <c r="M29" i="8"/>
  <c r="T28" i="8"/>
  <c r="S28" i="8"/>
  <c r="R28" i="8"/>
  <c r="Q28" i="8"/>
  <c r="P28" i="8"/>
  <c r="O28" i="8"/>
  <c r="N28" i="8"/>
  <c r="M28" i="8"/>
  <c r="T27" i="8"/>
  <c r="S27" i="8"/>
  <c r="R27" i="8"/>
  <c r="Q27" i="8"/>
  <c r="P27" i="8"/>
  <c r="O27" i="8"/>
  <c r="N27" i="8"/>
  <c r="M27" i="8"/>
  <c r="T26" i="8"/>
  <c r="S26" i="8"/>
  <c r="R26" i="8"/>
  <c r="Q26" i="8"/>
  <c r="P26" i="8"/>
  <c r="O26" i="8"/>
  <c r="N26" i="8"/>
  <c r="M26" i="8"/>
  <c r="T25" i="8"/>
  <c r="S25" i="8"/>
  <c r="R25" i="8"/>
  <c r="Q25" i="8"/>
  <c r="P25" i="8"/>
  <c r="O25" i="8"/>
  <c r="N25" i="8"/>
  <c r="M25" i="8"/>
  <c r="T24" i="8"/>
  <c r="S24" i="8"/>
  <c r="R24" i="8"/>
  <c r="Q24" i="8"/>
  <c r="P24" i="8"/>
  <c r="O24" i="8"/>
  <c r="N24" i="8"/>
  <c r="M24" i="8"/>
  <c r="T23" i="8"/>
  <c r="S23" i="8"/>
  <c r="R23" i="8"/>
  <c r="Q23" i="8"/>
  <c r="P23" i="8"/>
  <c r="O23" i="8"/>
  <c r="N23" i="8"/>
  <c r="M23" i="8"/>
  <c r="T22" i="8"/>
  <c r="S22" i="8"/>
  <c r="R22" i="8"/>
  <c r="Q22" i="8"/>
  <c r="P22" i="8"/>
  <c r="O22" i="8"/>
  <c r="N22" i="8"/>
  <c r="M22" i="8"/>
  <c r="T21" i="8"/>
  <c r="S21" i="8"/>
  <c r="R21" i="8"/>
  <c r="Q21" i="8"/>
  <c r="P21" i="8"/>
  <c r="O21" i="8"/>
  <c r="N21" i="8"/>
  <c r="M21" i="8"/>
  <c r="T20" i="8"/>
  <c r="S20" i="8"/>
  <c r="R20" i="8"/>
  <c r="Q20" i="8"/>
  <c r="P20" i="8"/>
  <c r="O20" i="8"/>
  <c r="N20" i="8"/>
  <c r="M20" i="8"/>
  <c r="T19" i="8"/>
  <c r="S19" i="8"/>
  <c r="R19" i="8"/>
  <c r="Q19" i="8"/>
  <c r="P19" i="8"/>
  <c r="O19" i="8"/>
  <c r="N19" i="8"/>
  <c r="M19" i="8"/>
  <c r="T18" i="8"/>
  <c r="S18" i="8"/>
  <c r="R18" i="8"/>
  <c r="Q18" i="8"/>
  <c r="P18" i="8"/>
  <c r="O18" i="8"/>
  <c r="N18" i="8"/>
  <c r="M18" i="8"/>
  <c r="T17" i="8"/>
  <c r="S17" i="8"/>
  <c r="R17" i="8"/>
  <c r="Q17" i="8"/>
  <c r="P17" i="8"/>
  <c r="O17" i="8"/>
  <c r="N17" i="8"/>
  <c r="M17" i="8"/>
  <c r="T16" i="8"/>
  <c r="S16" i="8"/>
  <c r="R16" i="8"/>
  <c r="Q16" i="8"/>
  <c r="P16" i="8"/>
  <c r="O16" i="8"/>
  <c r="N16" i="8"/>
  <c r="M16" i="8"/>
  <c r="T15" i="8"/>
  <c r="S15" i="8"/>
  <c r="R15" i="8"/>
  <c r="Q15" i="8"/>
  <c r="P15" i="8"/>
  <c r="O15" i="8"/>
  <c r="N15" i="8"/>
  <c r="M15" i="8"/>
  <c r="T14" i="8"/>
  <c r="S14" i="8"/>
  <c r="R14" i="8"/>
  <c r="Q14" i="8"/>
  <c r="P14" i="8"/>
  <c r="O14" i="8"/>
  <c r="N14" i="8"/>
  <c r="M14" i="8"/>
  <c r="T13" i="8"/>
  <c r="S13" i="8"/>
  <c r="R13" i="8"/>
  <c r="Q13" i="8"/>
  <c r="P13" i="8"/>
  <c r="O13" i="8"/>
  <c r="N13" i="8"/>
  <c r="M13" i="8"/>
  <c r="T12" i="8"/>
  <c r="S12" i="8"/>
  <c r="R12" i="8"/>
  <c r="Q12" i="8"/>
  <c r="P12" i="8"/>
  <c r="O12" i="8"/>
  <c r="N12" i="8"/>
  <c r="M12" i="8"/>
  <c r="T11" i="8"/>
  <c r="S11" i="8"/>
  <c r="R11" i="8"/>
  <c r="Q11" i="8"/>
  <c r="P11" i="8"/>
  <c r="O11" i="8"/>
  <c r="N11" i="8"/>
  <c r="M11" i="8"/>
  <c r="T10" i="8"/>
  <c r="S10" i="8"/>
  <c r="R10" i="8"/>
  <c r="Q10" i="8"/>
  <c r="P10" i="8"/>
  <c r="O10" i="8"/>
  <c r="N10" i="8"/>
  <c r="M10" i="8"/>
  <c r="T9" i="8"/>
  <c r="S9" i="8"/>
  <c r="R9" i="8"/>
  <c r="Q9" i="8"/>
  <c r="P9" i="8"/>
  <c r="O9" i="8"/>
  <c r="N9" i="8"/>
  <c r="M9" i="8"/>
  <c r="T8" i="8"/>
  <c r="S8" i="8"/>
  <c r="R8" i="8"/>
  <c r="Q8" i="8"/>
  <c r="P8" i="8"/>
  <c r="O8" i="8"/>
  <c r="N8" i="8"/>
  <c r="M8" i="8"/>
  <c r="T7" i="8"/>
  <c r="S7" i="8"/>
  <c r="R7" i="8"/>
  <c r="Q7" i="8"/>
  <c r="P7" i="8"/>
  <c r="O7" i="8"/>
  <c r="N7" i="8"/>
  <c r="M7" i="8"/>
  <c r="T6" i="8"/>
  <c r="S6" i="8"/>
  <c r="R6" i="8"/>
  <c r="Q6" i="8"/>
  <c r="P6" i="8"/>
  <c r="O6" i="8"/>
  <c r="N6" i="8"/>
  <c r="M6" i="8"/>
  <c r="T5" i="8"/>
  <c r="S5" i="8"/>
  <c r="R5" i="8"/>
  <c r="Q5" i="8"/>
  <c r="P5" i="8"/>
  <c r="O5" i="8"/>
  <c r="N5" i="8"/>
  <c r="M5" i="8"/>
  <c r="T4" i="8"/>
  <c r="S4" i="8"/>
  <c r="R4" i="8"/>
  <c r="Q4" i="8"/>
  <c r="P4" i="8"/>
  <c r="O4" i="8"/>
  <c r="N4" i="8"/>
  <c r="M4" i="8"/>
  <c r="T3" i="8"/>
  <c r="S3" i="8"/>
  <c r="R3" i="8"/>
  <c r="Q3" i="8"/>
  <c r="P3" i="8"/>
  <c r="O3" i="8"/>
  <c r="N3" i="8"/>
  <c r="M3" i="8"/>
  <c r="S2" i="8"/>
  <c r="R2" i="8"/>
  <c r="Q2" i="8"/>
  <c r="P2" i="8"/>
  <c r="O2" i="8"/>
  <c r="N2" i="8"/>
  <c r="M2" i="8"/>
  <c r="C44" i="1" l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A3" i="6" a="1"/>
  <c r="C3" i="6" a="1"/>
  <c r="C3" i="6" l="1"/>
  <c r="A3" i="6"/>
  <c r="C10" i="9" l="1" a="1"/>
  <c r="C10" i="9" s="1"/>
  <c r="C9" i="9" a="1"/>
  <c r="C9" i="9" s="1"/>
  <c r="C8" i="9" a="1"/>
  <c r="C8" i="9" s="1"/>
  <c r="C7" i="9" a="1"/>
  <c r="C7" i="9" s="1"/>
  <c r="C6" i="9" a="1"/>
  <c r="C6" i="9" s="1"/>
  <c r="C5" i="9" a="1"/>
  <c r="C5" i="9" s="1"/>
  <c r="C4" i="9" a="1"/>
  <c r="C4" i="9" s="1"/>
  <c r="A10" i="9" a="1"/>
  <c r="A10" i="9" s="1"/>
  <c r="A9" i="9" a="1"/>
  <c r="A9" i="9" s="1"/>
  <c r="A8" i="9" a="1"/>
  <c r="A8" i="9" s="1"/>
  <c r="A7" i="9" a="1"/>
  <c r="A7" i="9" s="1"/>
  <c r="A6" i="9" a="1"/>
  <c r="A6" i="9" s="1"/>
  <c r="A5" i="9" a="1"/>
  <c r="A5" i="9" s="1"/>
  <c r="A4" i="9" a="1"/>
  <c r="A4" i="9" s="1"/>
  <c r="M2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<sst xmlns="http://schemas.openxmlformats.org/spreadsheetml/2006/main" count="447" uniqueCount="236">
  <si>
    <t>Omschrijving</t>
  </si>
  <si>
    <t>Catnr</t>
  </si>
  <si>
    <t>Eerste- en Eindletter hetzelfde</t>
  </si>
  <si>
    <t>(stand)beeld / (Rijks)monument</t>
  </si>
  <si>
    <t>Begint met een B</t>
  </si>
  <si>
    <t>Zes letters</t>
  </si>
  <si>
    <t>Bekende Brabanders</t>
  </si>
  <si>
    <t>Met B en B</t>
  </si>
  <si>
    <t>Alaaf</t>
  </si>
  <si>
    <t>Kiosk</t>
  </si>
  <si>
    <t>Begint met een W</t>
  </si>
  <si>
    <t>Tilburg</t>
  </si>
  <si>
    <t>Water</t>
  </si>
  <si>
    <t>Met dubbel T</t>
  </si>
  <si>
    <t>Kasteel</t>
  </si>
  <si>
    <t>Getal/Cijfer</t>
  </si>
  <si>
    <t>Buurtschap</t>
  </si>
  <si>
    <t>Met dubbel s</t>
  </si>
  <si>
    <t>Willem II</t>
  </si>
  <si>
    <t>Natuur</t>
  </si>
  <si>
    <t>Festival</t>
  </si>
  <si>
    <t>West Brabant</t>
  </si>
  <si>
    <t>3x dezelfde letter</t>
  </si>
  <si>
    <t>Begint met N</t>
  </si>
  <si>
    <t>3 of 4 letters</t>
  </si>
  <si>
    <t>1 van de 8</t>
  </si>
  <si>
    <t>Eindigt op el</t>
  </si>
  <si>
    <t>Eten en Drinken (ED)</t>
  </si>
  <si>
    <t>Hilvarenbeek</t>
  </si>
  <si>
    <t>In de volksmond (IDV)</t>
  </si>
  <si>
    <t>Kleurrijk</t>
  </si>
  <si>
    <t>Met ie</t>
  </si>
  <si>
    <t>Met 4 Wieken</t>
  </si>
  <si>
    <t>Parel in het Groen (PITG)</t>
  </si>
  <si>
    <t>Plein</t>
  </si>
  <si>
    <t>Sport</t>
  </si>
  <si>
    <t>Theater</t>
  </si>
  <si>
    <t>Typisch Brabants (TB)</t>
  </si>
  <si>
    <t>Vught</t>
  </si>
  <si>
    <t>7 letters</t>
  </si>
  <si>
    <t>Dierlijk</t>
  </si>
  <si>
    <t>Antwoorden</t>
  </si>
  <si>
    <t>Cat 1</t>
  </si>
  <si>
    <t>Cat 2</t>
  </si>
  <si>
    <t>Cat 3</t>
  </si>
  <si>
    <t>Cat 4</t>
  </si>
  <si>
    <t>Aarle Rixtel</t>
  </si>
  <si>
    <t>(aan de) Parade</t>
  </si>
  <si>
    <t>Theater in Den Bosch</t>
  </si>
  <si>
    <t>18 September</t>
  </si>
  <si>
    <t>Arendsnest</t>
  </si>
  <si>
    <t>Assumburg</t>
  </si>
  <si>
    <t>A2</t>
  </si>
  <si>
    <t>Balkenbrij</t>
  </si>
  <si>
    <t>Baol</t>
  </si>
  <si>
    <t>Beerze</t>
  </si>
  <si>
    <t>Bekant</t>
  </si>
  <si>
    <t>Bergen op Zoom</t>
  </si>
  <si>
    <t>Bieb</t>
  </si>
  <si>
    <t>Bierbrouwerij de Roos (BdR)</t>
  </si>
  <si>
    <t>Binnen Dieze</t>
  </si>
  <si>
    <t>Biestse Boulers</t>
  </si>
  <si>
    <t>Borghs</t>
  </si>
  <si>
    <t>Bossche Broek</t>
  </si>
  <si>
    <t>Bouvigne</t>
  </si>
  <si>
    <t>Broekhoven</t>
  </si>
  <si>
    <t>Bud Brocken</t>
  </si>
  <si>
    <t>Cartierheide</t>
  </si>
  <si>
    <t>Chassé</t>
  </si>
  <si>
    <t>De Blauwe Camer</t>
  </si>
  <si>
    <t>De Brand (herberg)</t>
  </si>
  <si>
    <t>De 3 van</t>
  </si>
  <si>
    <t>De Eeendracht</t>
  </si>
  <si>
    <t>De Heuvel</t>
  </si>
  <si>
    <t>Plaats in Brabant (Peel)</t>
  </si>
  <si>
    <t>Theater in Breda</t>
  </si>
  <si>
    <t>De Koepel</t>
  </si>
  <si>
    <t>Gevangenis in Breda</t>
  </si>
  <si>
    <t>De Korenbloem</t>
  </si>
  <si>
    <t>De Laat</t>
  </si>
  <si>
    <t>De Leest</t>
  </si>
  <si>
    <t>De Paarse Heide</t>
  </si>
  <si>
    <t>De Pelikaan</t>
  </si>
  <si>
    <t>De 2 Gebroeders</t>
  </si>
  <si>
    <t>De Twee Pinten</t>
  </si>
  <si>
    <t>Carnavalsduo</t>
  </si>
  <si>
    <t>De Vrijthof</t>
  </si>
  <si>
    <t>De Zotte Mulders</t>
  </si>
  <si>
    <t>De Zwaan 1623</t>
  </si>
  <si>
    <t>Diessen</t>
  </si>
  <si>
    <t>Den Bosch</t>
  </si>
  <si>
    <t>s Hertogenbosch (DB)</t>
  </si>
  <si>
    <t>Duizel</t>
  </si>
  <si>
    <t>Eersel</t>
  </si>
  <si>
    <t>Elastiek</t>
  </si>
  <si>
    <t>Evoluon</t>
  </si>
  <si>
    <t>Frits Spits</t>
  </si>
  <si>
    <t xml:space="preserve">Radio DJ </t>
  </si>
  <si>
    <t>Glow</t>
  </si>
  <si>
    <t>Gorp en Roovert</t>
  </si>
  <si>
    <t>Halve Zolen</t>
  </si>
  <si>
    <t>Heeswijk</t>
  </si>
  <si>
    <t>Heimolen</t>
  </si>
  <si>
    <t>Helmond</t>
  </si>
  <si>
    <t>Houdoe</t>
  </si>
  <si>
    <t>Ihattaren</t>
  </si>
  <si>
    <t>Voetbaler van PSV</t>
  </si>
  <si>
    <t>Ijzeren man</t>
  </si>
  <si>
    <t>Intents</t>
  </si>
  <si>
    <t>In 't Groene Woud (GW)</t>
  </si>
  <si>
    <t>Joris Mathijsen (JM)</t>
  </si>
  <si>
    <t>Voetballer, begonnen bij Willem II, thans Trainer van Willem II</t>
  </si>
  <si>
    <t>Kampina</t>
  </si>
  <si>
    <t>Knegsel</t>
  </si>
  <si>
    <t>Kruikezeiker</t>
  </si>
  <si>
    <t>Carnavalsbijnaam van een Tilburger</t>
  </si>
  <si>
    <t>KVL</t>
  </si>
  <si>
    <t>Lampegat</t>
  </si>
  <si>
    <t>Lieve Lente</t>
  </si>
  <si>
    <t>Lies</t>
  </si>
  <si>
    <t>Liessel</t>
  </si>
  <si>
    <t>Lunetten</t>
  </si>
  <si>
    <t>Maurick</t>
  </si>
  <si>
    <t>Michael van Gerwen</t>
  </si>
  <si>
    <t>Carnavalsbijnaam van Eindhoven</t>
  </si>
  <si>
    <t>Moerputten</t>
  </si>
  <si>
    <t>NAC</t>
  </si>
  <si>
    <t>040 (Eindhoven)</t>
  </si>
  <si>
    <t>076 (Breda)</t>
  </si>
  <si>
    <t>040 (Eindhoven</t>
  </si>
  <si>
    <t>Nemerlaer</t>
  </si>
  <si>
    <t>Nieuw Vossemeer</t>
  </si>
  <si>
    <t>Noenes</t>
  </si>
  <si>
    <t>Nooit Gedacht</t>
  </si>
  <si>
    <t>Noordhoek</t>
  </si>
  <si>
    <t>Nuenen</t>
  </si>
  <si>
    <t>Oosterplas</t>
  </si>
  <si>
    <t>Oss</t>
  </si>
  <si>
    <t>Pand P</t>
  </si>
  <si>
    <t>Paperclip</t>
  </si>
  <si>
    <t>Papgat</t>
  </si>
  <si>
    <t>Papzakken</t>
  </si>
  <si>
    <t>Petrus en Paulus (PP)</t>
  </si>
  <si>
    <t>(plein) 1969</t>
  </si>
  <si>
    <t>Ploegersland</t>
  </si>
  <si>
    <t>Ria Valk</t>
  </si>
  <si>
    <t>Ripasso</t>
  </si>
  <si>
    <t>Zangeres. Grote bekendheid met carnavalsnummers</t>
  </si>
  <si>
    <t>Roel van Hemert</t>
  </si>
  <si>
    <t>Rooi</t>
  </si>
  <si>
    <t>Roze Maandag</t>
  </si>
  <si>
    <t>Schrobbelèr</t>
  </si>
  <si>
    <t>Simon Tahamata</t>
  </si>
  <si>
    <t xml:space="preserve">Voetballer </t>
  </si>
  <si>
    <t>Sint Anthonis</t>
  </si>
  <si>
    <t>Sint Jan</t>
  </si>
  <si>
    <t>Sint Joris</t>
  </si>
  <si>
    <t>Sint Juttemis</t>
  </si>
  <si>
    <t>Snuifscheppers (SFS)</t>
  </si>
  <si>
    <t>Stinsel</t>
  </si>
  <si>
    <t>St. Willebrord</t>
  </si>
  <si>
    <t>t Blauwe Meer</t>
  </si>
  <si>
    <t>t Kruiken(plein)</t>
  </si>
  <si>
    <t>t Zand</t>
  </si>
  <si>
    <t>Van Geel</t>
  </si>
  <si>
    <t>Van Roessel</t>
  </si>
  <si>
    <t>Venkraai</t>
  </si>
  <si>
    <t>Vestzak</t>
  </si>
  <si>
    <t>Vijfhuizen</t>
  </si>
  <si>
    <t>Westpoint</t>
  </si>
  <si>
    <t>Wilhelminapark (WP)</t>
  </si>
  <si>
    <t>Wim van Est</t>
  </si>
  <si>
    <t>Winkel</t>
  </si>
  <si>
    <t>Wintelre</t>
  </si>
  <si>
    <t>Witte Dame</t>
  </si>
  <si>
    <t>Worstenbroodje (WB)</t>
  </si>
  <si>
    <t>Wouw</t>
  </si>
  <si>
    <t>7ende Hemel</t>
  </si>
  <si>
    <t>Donders</t>
  </si>
  <si>
    <t>De Lind</t>
  </si>
  <si>
    <t>Kiosk, 6 letters</t>
  </si>
  <si>
    <t>Hulsel</t>
  </si>
  <si>
    <t>Bergsche Maas</t>
  </si>
  <si>
    <t>Beekse Bergen</t>
  </si>
  <si>
    <t>Biesbosch</t>
  </si>
  <si>
    <t>Paaspop</t>
  </si>
  <si>
    <t>Strontrapers</t>
  </si>
  <si>
    <t>Zittend Meisje</t>
  </si>
  <si>
    <t>Frits Philips</t>
  </si>
  <si>
    <t>Bram Braam</t>
  </si>
  <si>
    <t>Borstbeeld Asselbergs (BA)</t>
  </si>
  <si>
    <t>Piet de Visser</t>
  </si>
  <si>
    <t>jeu de boulesvereniging</t>
  </si>
  <si>
    <t>Cat5</t>
  </si>
  <si>
    <t>Cat6</t>
  </si>
  <si>
    <t>Wandelroute Den Bosch</t>
  </si>
  <si>
    <t>Voetballer Willem II</t>
  </si>
  <si>
    <t>Cat7</t>
  </si>
  <si>
    <t>Cat 8</t>
  </si>
  <si>
    <t>bevrijding eindhoven</t>
  </si>
  <si>
    <t>restaurant oosterhout</t>
  </si>
  <si>
    <t>Molen</t>
  </si>
  <si>
    <t>lekkernij</t>
  </si>
  <si>
    <t>= Baarne Nassau</t>
  </si>
  <si>
    <t>AL INGEVULD</t>
  </si>
  <si>
    <t xml:space="preserve">restaurant </t>
  </si>
  <si>
    <t>Sint Agatha</t>
  </si>
  <si>
    <t>Heilige</t>
  </si>
  <si>
    <t>Aantal</t>
  </si>
  <si>
    <t>Kutdorp</t>
  </si>
  <si>
    <t>Drakenfontein</t>
  </si>
  <si>
    <t>Anton Philips @</t>
  </si>
  <si>
    <t>Snelweg</t>
  </si>
  <si>
    <t>Bartels @</t>
  </si>
  <si>
    <t>Categorie 1</t>
  </si>
  <si>
    <t>Categorie 2</t>
  </si>
  <si>
    <t>Categorie 3</t>
  </si>
  <si>
    <t>Categorie 4</t>
  </si>
  <si>
    <t>Categorie 5</t>
  </si>
  <si>
    <t>Categorie 6</t>
  </si>
  <si>
    <t>Categorie 7</t>
  </si>
  <si>
    <t>Categorie 8</t>
  </si>
  <si>
    <t>Safaripark</t>
  </si>
  <si>
    <t>Water, bier</t>
  </si>
  <si>
    <t>uitdrukking</t>
  </si>
  <si>
    <t>Plaats in West brabant</t>
  </si>
  <si>
    <t>(nog een andere betekenis dan afkoring van bibliotheek?)</t>
  </si>
  <si>
    <t>Natuurgebied</t>
  </si>
  <si>
    <t>stromen binnen Den Bosch</t>
  </si>
  <si>
    <t>Hotel/Restaurant? Iets anders?</t>
  </si>
  <si>
    <t>Theater / Windmolen</t>
  </si>
  <si>
    <t>Roy &amp; Ruud Donders (voetballer WII)</t>
  </si>
  <si>
    <t>Anton Philips</t>
  </si>
  <si>
    <t>Bartels</t>
  </si>
  <si>
    <t>buurtschap in Rucphen</t>
  </si>
  <si>
    <t>pseudoniem-&gt; Anton van Duinkerken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</si>
</sst>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quotePrefix="1"/>
    <xf numFmtId="16" fontId="0" fillId="0" borderId="0" xfId="0" quotePrefix="1" applyNumberFormat="1"/>
    <xf numFmtId="0" fontId="0" fillId="0" borderId="0" xfId="0" applyAlignment="1">
      <alignment wrapText="1"/>
    </xf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Font="1"/>
    <xf numFmtId="0" fontId="2" fillId="0" borderId="0" xfId="0" applyFont="1"/>
    <xf numFmtId="0" fontId="3" fillId="0" borderId="0" xfId="0" applyFont="1"/>
    <xf numFmtId="16" fontId="2" fillId="0" borderId="0" xfId="0" quotePrefix="1" applyNumberFormat="1" applyFont="1"/>
    <xf numFmtId="0" fontId="0" fillId="0" borderId="0" xfId="0" quotePrefix="1" applyAlignment="1">
      <alignment wrapText="1"/>
    </xf>
    <xf numFmtId="0" fontId="1" fillId="0" borderId="1" xfId="0" applyFont="1" applyBorder="1"/>
    <xf numFmtId="0" fontId="0" fillId="0" borderId="1" xfId="0" applyBorder="1"/>
    <xf numFmtId="0" fontId="0" fillId="0" borderId="1" xfId="0" applyBorder="1" applyAlignment="1">
      <alignment wrapText="1"/>
    </xf>
    <xf numFmtId="16" fontId="0" fillId="0" borderId="1" xfId="0" quotePrefix="1" applyNumberFormat="1" applyBorder="1"/>
    <xf numFmtId="16" fontId="2" fillId="0" borderId="1" xfId="0" quotePrefix="1" applyNumberFormat="1" applyFont="1" applyBorder="1"/>
    <xf numFmtId="0" fontId="0" fillId="0" borderId="1" xfId="0" quotePrefix="1" applyBorder="1" applyAlignment="1">
      <alignment wrapText="1"/>
    </xf>
    <xf numFmtId="0" fontId="2" fillId="0" borderId="1" xfId="0" applyFont="1" applyBorder="1"/>
    <xf numFmtId="0" fontId="3" fillId="0" borderId="1" xfId="0" applyFont="1" applyBorder="1"/>
    <xf numFmtId="0" fontId="1" fillId="0" borderId="1" xfId="0" applyFont="1" applyBorder="1" applyAlignment="1">
      <alignment wrapText="1"/>
    </xf>
    <xf numFmtId="0" fontId="0" fillId="0" borderId="1" xfId="0" quotePrefix="1" applyBorder="1"/>
    <xf numFmtId="0" fontId="1" fillId="2" borderId="0" xfId="0" applyFont="1" applyFill="1" applyAlignment="1">
      <alignment horizontal="center" vertical="center"/>
    </xf>
    <xf numFmtId="0" fontId="0" fillId="3" borderId="0" xfId="0" applyFill="1"/>
    <xf numFmtId="0" fontId="0" fillId="0" borderId="1" xfId="0" applyFont="1" applyBorder="1"/>
    <xf numFmtId="0" fontId="0" fillId="0" borderId="2" xfId="0" applyFill="1" applyBorder="1"/>
  </cellXfs>
  <cellStyles count="1">
    <cellStyle name="Standaard" xfId="0" builtinId="0"/>
  </cellStyles>
  <dxfs count="1">
    <dxf>
      <font>
        <color theme="0"/>
      </font>
    </dxf>
  </dxfs>
  <tableStyles count="0" defaultTableStyle="TableStyleMedium2" defaultPivotStyle="PivotStyleLight16"/>
  <colors>
    <mruColors>
      <color rgb="FF61EE3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0" dropStyle="combo" dx="22" fmlaLink="$A$2" fmlaRange="Antwoorden!$A$2:$A$133" noThreeD="1" sel="7" val="0"/>
</file>

<file path=xl/ctrlProps/ctrlProp2.xml><?xml version="1.0" encoding="utf-8"?>
<formControlPr xmlns="http://schemas.microsoft.com/office/spreadsheetml/2009/9/main" objectType="Drop" dropStyle="combo" dx="22" fmlaLink="$C$2" fmlaRange="Antwoorden!$A$2:$A$133" noThreeD="1" sel="40" val="39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A67B12D5-BA9A-47E9-80B4-BC8C6BC87A7C}" type="doc">
      <dgm:prSet loTypeId="urn:microsoft.com/office/officeart/2008/layout/AlternatingHexagons" loCatId="list" qsTypeId="urn:microsoft.com/office/officeart/2005/8/quickstyle/simple4" qsCatId="simple" csTypeId="urn:microsoft.com/office/officeart/2005/8/colors/accent1_2" csCatId="accent1" phldr="0"/>
      <dgm:spPr/>
      <dgm:t>
        <a:bodyPr/>
        <a:lstStyle/>
        <a:p>
          <a:endParaRPr lang="nl-NL"/>
        </a:p>
      </dgm:t>
    </dgm:pt>
    <dgm:pt modelId="{D0E2494C-6D26-4886-8191-B1B6BCE5B472}">
      <dgm:prSet phldrT="[Tekst]" phldr="1"/>
      <dgm:spPr/>
      <dgm:t>
        <a:bodyPr/>
        <a:lstStyle/>
        <a:p>
          <a:endParaRPr lang="nl-NL"/>
        </a:p>
      </dgm:t>
    </dgm:pt>
    <dgm:pt modelId="{B6393C5C-0121-4FEE-9185-9AC0F3B14AA2}" type="parTrans" cxnId="{9A62BE53-4769-4770-8F38-B9624C66E9DD}">
      <dgm:prSet/>
      <dgm:spPr/>
      <dgm:t>
        <a:bodyPr/>
        <a:lstStyle/>
        <a:p>
          <a:endParaRPr lang="nl-NL"/>
        </a:p>
      </dgm:t>
    </dgm:pt>
    <dgm:pt modelId="{8C80BF9F-656B-48F1-B08C-6F78E5440242}" type="sibTrans" cxnId="{9A62BE53-4769-4770-8F38-B9624C66E9DD}">
      <dgm:prSet/>
      <dgm:spPr/>
      <dgm:t>
        <a:bodyPr/>
        <a:lstStyle/>
        <a:p>
          <a:endParaRPr lang="nl-NL"/>
        </a:p>
      </dgm:t>
    </dgm:pt>
    <dgm:pt modelId="{7AF9881F-35EC-4D63-BB3B-168C9521AAE4}">
      <dgm:prSet phldrT="[Tekst]" phldr="1"/>
      <dgm:spPr/>
      <dgm:t>
        <a:bodyPr/>
        <a:lstStyle/>
        <a:p>
          <a:endParaRPr lang="nl-NL"/>
        </a:p>
      </dgm:t>
    </dgm:pt>
    <dgm:pt modelId="{FBD9038B-C44C-4982-B9C9-CC4E88ADAFAA}" type="parTrans" cxnId="{A041CE78-4DA7-45F4-A98D-E6CE0B9621F2}">
      <dgm:prSet/>
      <dgm:spPr/>
      <dgm:t>
        <a:bodyPr/>
        <a:lstStyle/>
        <a:p>
          <a:endParaRPr lang="nl-NL"/>
        </a:p>
      </dgm:t>
    </dgm:pt>
    <dgm:pt modelId="{676B1F06-E077-452C-ABB0-44C83E720076}" type="sibTrans" cxnId="{A041CE78-4DA7-45F4-A98D-E6CE0B9621F2}">
      <dgm:prSet/>
      <dgm:spPr/>
      <dgm:t>
        <a:bodyPr/>
        <a:lstStyle/>
        <a:p>
          <a:endParaRPr lang="nl-NL"/>
        </a:p>
      </dgm:t>
    </dgm:pt>
    <dgm:pt modelId="{2DCAC656-0643-41BF-B5B7-5F01494F1FB8}">
      <dgm:prSet phldrT="[Tekst]" phldr="1"/>
      <dgm:spPr/>
      <dgm:t>
        <a:bodyPr/>
        <a:lstStyle/>
        <a:p>
          <a:endParaRPr lang="nl-NL"/>
        </a:p>
      </dgm:t>
    </dgm:pt>
    <dgm:pt modelId="{AE9D5EB9-A1EA-44A4-BAEC-76272307D535}" type="parTrans" cxnId="{9810C962-C053-45EE-8046-F32D85EA0B84}">
      <dgm:prSet/>
      <dgm:spPr/>
      <dgm:t>
        <a:bodyPr/>
        <a:lstStyle/>
        <a:p>
          <a:endParaRPr lang="nl-NL"/>
        </a:p>
      </dgm:t>
    </dgm:pt>
    <dgm:pt modelId="{E261454F-2AC7-4233-B51B-B6DC03AE90EB}" type="sibTrans" cxnId="{9810C962-C053-45EE-8046-F32D85EA0B84}">
      <dgm:prSet/>
      <dgm:spPr/>
      <dgm:t>
        <a:bodyPr/>
        <a:lstStyle/>
        <a:p>
          <a:endParaRPr lang="nl-NL"/>
        </a:p>
      </dgm:t>
    </dgm:pt>
    <dgm:pt modelId="{01D86F22-000F-4570-81A4-A58DFC0028A7}">
      <dgm:prSet phldrT="[Tekst]" phldr="1"/>
      <dgm:spPr/>
      <dgm:t>
        <a:bodyPr/>
        <a:lstStyle/>
        <a:p>
          <a:endParaRPr lang="nl-NL"/>
        </a:p>
      </dgm:t>
    </dgm:pt>
    <dgm:pt modelId="{0935EE91-4BF3-490A-9ABE-F6645D6ED8A8}" type="parTrans" cxnId="{8A977B9F-496A-41E8-9257-3FE63A16411E}">
      <dgm:prSet/>
      <dgm:spPr/>
      <dgm:t>
        <a:bodyPr/>
        <a:lstStyle/>
        <a:p>
          <a:endParaRPr lang="nl-NL"/>
        </a:p>
      </dgm:t>
    </dgm:pt>
    <dgm:pt modelId="{C626BF3E-63EC-4517-A177-CCC2C83A5303}" type="sibTrans" cxnId="{8A977B9F-496A-41E8-9257-3FE63A16411E}">
      <dgm:prSet/>
      <dgm:spPr/>
      <dgm:t>
        <a:bodyPr/>
        <a:lstStyle/>
        <a:p>
          <a:endParaRPr lang="nl-NL"/>
        </a:p>
      </dgm:t>
    </dgm:pt>
    <dgm:pt modelId="{8EAD4A2B-3170-4D38-9E23-5D438225894D}">
      <dgm:prSet phldrT="[Tekst]" phldr="1"/>
      <dgm:spPr/>
      <dgm:t>
        <a:bodyPr/>
        <a:lstStyle/>
        <a:p>
          <a:endParaRPr lang="nl-NL"/>
        </a:p>
      </dgm:t>
    </dgm:pt>
    <dgm:pt modelId="{D9CBA958-8B77-41C9-BEE7-34EC7B89A92C}" type="parTrans" cxnId="{EE26E8D7-40F9-4DE2-AF88-83EF8A20FDDF}">
      <dgm:prSet/>
      <dgm:spPr/>
      <dgm:t>
        <a:bodyPr/>
        <a:lstStyle/>
        <a:p>
          <a:endParaRPr lang="nl-NL"/>
        </a:p>
      </dgm:t>
    </dgm:pt>
    <dgm:pt modelId="{BE14B1CB-D26B-4B06-95D1-6026141D45F4}" type="sibTrans" cxnId="{EE26E8D7-40F9-4DE2-AF88-83EF8A20FDDF}">
      <dgm:prSet/>
      <dgm:spPr/>
      <dgm:t>
        <a:bodyPr/>
        <a:lstStyle/>
        <a:p>
          <a:endParaRPr lang="nl-NL"/>
        </a:p>
      </dgm:t>
    </dgm:pt>
    <dgm:pt modelId="{8FD9B53A-F9C9-464E-8603-1D58A5FD5BF4}">
      <dgm:prSet phldrT="[Tekst]" phldr="1"/>
      <dgm:spPr/>
      <dgm:t>
        <a:bodyPr/>
        <a:lstStyle/>
        <a:p>
          <a:endParaRPr lang="nl-NL"/>
        </a:p>
      </dgm:t>
    </dgm:pt>
    <dgm:pt modelId="{04A02E66-C2BD-45F7-8AED-57E00FCE9C6A}" type="parTrans" cxnId="{5882EA7D-2075-4BE4-A77F-FADD0AE2D615}">
      <dgm:prSet/>
      <dgm:spPr/>
      <dgm:t>
        <a:bodyPr/>
        <a:lstStyle/>
        <a:p>
          <a:endParaRPr lang="nl-NL"/>
        </a:p>
      </dgm:t>
    </dgm:pt>
    <dgm:pt modelId="{60D3550E-AFC1-407A-8353-3ED4E9B052F3}" type="sibTrans" cxnId="{5882EA7D-2075-4BE4-A77F-FADD0AE2D615}">
      <dgm:prSet/>
      <dgm:spPr/>
      <dgm:t>
        <a:bodyPr/>
        <a:lstStyle/>
        <a:p>
          <a:endParaRPr lang="nl-NL"/>
        </a:p>
      </dgm:t>
    </dgm:pt>
    <dgm:pt modelId="{E150D5FC-AE35-49D5-9D45-67B783A88E55}" type="pres">
      <dgm:prSet presAssocID="{A67B12D5-BA9A-47E9-80B4-BC8C6BC87A7C}" presName="Name0" presStyleCnt="0">
        <dgm:presLayoutVars>
          <dgm:chMax/>
          <dgm:chPref/>
          <dgm:dir/>
          <dgm:animLvl val="lvl"/>
        </dgm:presLayoutVars>
      </dgm:prSet>
      <dgm:spPr/>
    </dgm:pt>
    <dgm:pt modelId="{2CFFEE45-6FE8-49B6-BE58-1B0D31338D94}" type="pres">
      <dgm:prSet presAssocID="{D0E2494C-6D26-4886-8191-B1B6BCE5B472}" presName="composite" presStyleCnt="0"/>
      <dgm:spPr/>
    </dgm:pt>
    <dgm:pt modelId="{DFEC0619-B85C-4034-B2B5-65EA7260E3AE}" type="pres">
      <dgm:prSet presAssocID="{D0E2494C-6D26-4886-8191-B1B6BCE5B472}" presName="Parent1" presStyleLbl="node1" presStyleIdx="0" presStyleCnt="6">
        <dgm:presLayoutVars>
          <dgm:chMax val="1"/>
          <dgm:chPref val="1"/>
          <dgm:bulletEnabled val="1"/>
        </dgm:presLayoutVars>
      </dgm:prSet>
      <dgm:spPr/>
    </dgm:pt>
    <dgm:pt modelId="{FB74E1F1-36A3-40DB-9401-229C09B25130}" type="pres">
      <dgm:prSet presAssocID="{D0E2494C-6D26-4886-8191-B1B6BCE5B472}" presName="Childtext1" presStyleLbl="revTx" presStyleIdx="0" presStyleCnt="3">
        <dgm:presLayoutVars>
          <dgm:chMax val="0"/>
          <dgm:chPref val="0"/>
          <dgm:bulletEnabled val="1"/>
        </dgm:presLayoutVars>
      </dgm:prSet>
      <dgm:spPr/>
    </dgm:pt>
    <dgm:pt modelId="{285BC5B5-635D-4888-96CF-67C1DCA64DD5}" type="pres">
      <dgm:prSet presAssocID="{D0E2494C-6D26-4886-8191-B1B6BCE5B472}" presName="BalanceSpacing" presStyleCnt="0"/>
      <dgm:spPr/>
    </dgm:pt>
    <dgm:pt modelId="{D97C5A3D-F9A0-44D1-A1E6-E2685D872858}" type="pres">
      <dgm:prSet presAssocID="{D0E2494C-6D26-4886-8191-B1B6BCE5B472}" presName="BalanceSpacing1" presStyleCnt="0"/>
      <dgm:spPr/>
    </dgm:pt>
    <dgm:pt modelId="{147DC082-6E7A-46F5-B510-6A6349DBDD5E}" type="pres">
      <dgm:prSet presAssocID="{8C80BF9F-656B-48F1-B08C-6F78E5440242}" presName="Accent1Text" presStyleLbl="node1" presStyleIdx="1" presStyleCnt="6"/>
      <dgm:spPr/>
    </dgm:pt>
    <dgm:pt modelId="{D78CD125-0DD3-4D8B-A22E-8843D07B1E9F}" type="pres">
      <dgm:prSet presAssocID="{8C80BF9F-656B-48F1-B08C-6F78E5440242}" presName="spaceBetweenRectangles" presStyleCnt="0"/>
      <dgm:spPr/>
    </dgm:pt>
    <dgm:pt modelId="{2AF6BD62-09EC-4D5A-B7DF-D79B0922124A}" type="pres">
      <dgm:prSet presAssocID="{2DCAC656-0643-41BF-B5B7-5F01494F1FB8}" presName="composite" presStyleCnt="0"/>
      <dgm:spPr/>
    </dgm:pt>
    <dgm:pt modelId="{3F413BF7-E554-4BD0-B3D5-3E0D69B5FDF9}" type="pres">
      <dgm:prSet presAssocID="{2DCAC656-0643-41BF-B5B7-5F01494F1FB8}" presName="Parent1" presStyleLbl="node1" presStyleIdx="2" presStyleCnt="6">
        <dgm:presLayoutVars>
          <dgm:chMax val="1"/>
          <dgm:chPref val="1"/>
          <dgm:bulletEnabled val="1"/>
        </dgm:presLayoutVars>
      </dgm:prSet>
      <dgm:spPr/>
    </dgm:pt>
    <dgm:pt modelId="{E1099131-3A50-4A1C-99A2-F2B2BA2425B7}" type="pres">
      <dgm:prSet presAssocID="{2DCAC656-0643-41BF-B5B7-5F01494F1FB8}" presName="Childtext1" presStyleLbl="revTx" presStyleIdx="1" presStyleCnt="3">
        <dgm:presLayoutVars>
          <dgm:chMax val="0"/>
          <dgm:chPref val="0"/>
          <dgm:bulletEnabled val="1"/>
        </dgm:presLayoutVars>
      </dgm:prSet>
      <dgm:spPr/>
    </dgm:pt>
    <dgm:pt modelId="{5AA491FF-2619-4893-9CBB-856BEC5813F6}" type="pres">
      <dgm:prSet presAssocID="{2DCAC656-0643-41BF-B5B7-5F01494F1FB8}" presName="BalanceSpacing" presStyleCnt="0"/>
      <dgm:spPr/>
    </dgm:pt>
    <dgm:pt modelId="{80E0F2DA-90DC-4B68-B3C6-BB01DC290FFB}" type="pres">
      <dgm:prSet presAssocID="{2DCAC656-0643-41BF-B5B7-5F01494F1FB8}" presName="BalanceSpacing1" presStyleCnt="0"/>
      <dgm:spPr/>
    </dgm:pt>
    <dgm:pt modelId="{9623CF8A-C73C-4EEA-8E0D-D7EE2D9F3EEA}" type="pres">
      <dgm:prSet presAssocID="{E261454F-2AC7-4233-B51B-B6DC03AE90EB}" presName="Accent1Text" presStyleLbl="node1" presStyleIdx="3" presStyleCnt="6"/>
      <dgm:spPr/>
    </dgm:pt>
    <dgm:pt modelId="{78D78719-C516-4A95-82D5-6B6687AC9614}" type="pres">
      <dgm:prSet presAssocID="{E261454F-2AC7-4233-B51B-B6DC03AE90EB}" presName="spaceBetweenRectangles" presStyleCnt="0"/>
      <dgm:spPr/>
    </dgm:pt>
    <dgm:pt modelId="{7CDD6196-6926-46CA-8E25-28901FAA8728}" type="pres">
      <dgm:prSet presAssocID="{8EAD4A2B-3170-4D38-9E23-5D438225894D}" presName="composite" presStyleCnt="0"/>
      <dgm:spPr/>
    </dgm:pt>
    <dgm:pt modelId="{A56067B2-EE5E-409C-BC0E-D4B722D05012}" type="pres">
      <dgm:prSet presAssocID="{8EAD4A2B-3170-4D38-9E23-5D438225894D}" presName="Parent1" presStyleLbl="node1" presStyleIdx="4" presStyleCnt="6">
        <dgm:presLayoutVars>
          <dgm:chMax val="1"/>
          <dgm:chPref val="1"/>
          <dgm:bulletEnabled val="1"/>
        </dgm:presLayoutVars>
      </dgm:prSet>
      <dgm:spPr/>
    </dgm:pt>
    <dgm:pt modelId="{AAB3B91C-98E7-451C-A20C-0387DF0D9EC3}" type="pres">
      <dgm:prSet presAssocID="{8EAD4A2B-3170-4D38-9E23-5D438225894D}" presName="Childtext1" presStyleLbl="revTx" presStyleIdx="2" presStyleCnt="3">
        <dgm:presLayoutVars>
          <dgm:chMax val="0"/>
          <dgm:chPref val="0"/>
          <dgm:bulletEnabled val="1"/>
        </dgm:presLayoutVars>
      </dgm:prSet>
      <dgm:spPr/>
    </dgm:pt>
    <dgm:pt modelId="{B5E91D01-32B7-44BD-B2B0-DFCC7DE547C8}" type="pres">
      <dgm:prSet presAssocID="{8EAD4A2B-3170-4D38-9E23-5D438225894D}" presName="BalanceSpacing" presStyleCnt="0"/>
      <dgm:spPr/>
    </dgm:pt>
    <dgm:pt modelId="{EA36E09C-45EA-49B6-82E3-67FCF6901BD1}" type="pres">
      <dgm:prSet presAssocID="{8EAD4A2B-3170-4D38-9E23-5D438225894D}" presName="BalanceSpacing1" presStyleCnt="0"/>
      <dgm:spPr/>
    </dgm:pt>
    <dgm:pt modelId="{3F209420-2821-4649-B3F4-6C09130ADBC2}" type="pres">
      <dgm:prSet presAssocID="{BE14B1CB-D26B-4B06-95D1-6026141D45F4}" presName="Accent1Text" presStyleLbl="node1" presStyleIdx="5" presStyleCnt="6"/>
      <dgm:spPr/>
    </dgm:pt>
  </dgm:ptLst>
  <dgm:cxnLst>
    <dgm:cxn modelId="{B7C44400-2532-4DAB-BC0A-8D1C40880FBB}" type="presOf" srcId="{D0E2494C-6D26-4886-8191-B1B6BCE5B472}" destId="{DFEC0619-B85C-4034-B2B5-65EA7260E3AE}" srcOrd="0" destOrd="0" presId="urn:microsoft.com/office/officeart/2008/layout/AlternatingHexagons"/>
    <dgm:cxn modelId="{3AFABF02-6AA4-41E8-9085-7FE0E4A84060}" type="presOf" srcId="{8FD9B53A-F9C9-464E-8603-1D58A5FD5BF4}" destId="{AAB3B91C-98E7-451C-A20C-0387DF0D9EC3}" srcOrd="0" destOrd="0" presId="urn:microsoft.com/office/officeart/2008/layout/AlternatingHexagons"/>
    <dgm:cxn modelId="{E10C291A-8E88-41F9-873A-6C6C62665D2E}" type="presOf" srcId="{2DCAC656-0643-41BF-B5B7-5F01494F1FB8}" destId="{3F413BF7-E554-4BD0-B3D5-3E0D69B5FDF9}" srcOrd="0" destOrd="0" presId="urn:microsoft.com/office/officeart/2008/layout/AlternatingHexagons"/>
    <dgm:cxn modelId="{BA237740-64A9-493A-9D64-067FD2832888}" type="presOf" srcId="{7AF9881F-35EC-4D63-BB3B-168C9521AAE4}" destId="{FB74E1F1-36A3-40DB-9401-229C09B25130}" srcOrd="0" destOrd="0" presId="urn:microsoft.com/office/officeart/2008/layout/AlternatingHexagons"/>
    <dgm:cxn modelId="{9810C962-C053-45EE-8046-F32D85EA0B84}" srcId="{A67B12D5-BA9A-47E9-80B4-BC8C6BC87A7C}" destId="{2DCAC656-0643-41BF-B5B7-5F01494F1FB8}" srcOrd="1" destOrd="0" parTransId="{AE9D5EB9-A1EA-44A4-BAEC-76272307D535}" sibTransId="{E261454F-2AC7-4233-B51B-B6DC03AE90EB}"/>
    <dgm:cxn modelId="{9A62BE53-4769-4770-8F38-B9624C66E9DD}" srcId="{A67B12D5-BA9A-47E9-80B4-BC8C6BC87A7C}" destId="{D0E2494C-6D26-4886-8191-B1B6BCE5B472}" srcOrd="0" destOrd="0" parTransId="{B6393C5C-0121-4FEE-9185-9AC0F3B14AA2}" sibTransId="{8C80BF9F-656B-48F1-B08C-6F78E5440242}"/>
    <dgm:cxn modelId="{CF60CD57-6B03-470A-BFE0-AFDC6DDA1D2F}" type="presOf" srcId="{E261454F-2AC7-4233-B51B-B6DC03AE90EB}" destId="{9623CF8A-C73C-4EEA-8E0D-D7EE2D9F3EEA}" srcOrd="0" destOrd="0" presId="urn:microsoft.com/office/officeart/2008/layout/AlternatingHexagons"/>
    <dgm:cxn modelId="{A041CE78-4DA7-45F4-A98D-E6CE0B9621F2}" srcId="{D0E2494C-6D26-4886-8191-B1B6BCE5B472}" destId="{7AF9881F-35EC-4D63-BB3B-168C9521AAE4}" srcOrd="0" destOrd="0" parTransId="{FBD9038B-C44C-4982-B9C9-CC4E88ADAFAA}" sibTransId="{676B1F06-E077-452C-ABB0-44C83E720076}"/>
    <dgm:cxn modelId="{5882EA7D-2075-4BE4-A77F-FADD0AE2D615}" srcId="{8EAD4A2B-3170-4D38-9E23-5D438225894D}" destId="{8FD9B53A-F9C9-464E-8603-1D58A5FD5BF4}" srcOrd="0" destOrd="0" parTransId="{04A02E66-C2BD-45F7-8AED-57E00FCE9C6A}" sibTransId="{60D3550E-AFC1-407A-8353-3ED4E9B052F3}"/>
    <dgm:cxn modelId="{C3E40E82-4C72-4D96-8531-05DA4EFA20EF}" type="presOf" srcId="{BE14B1CB-D26B-4B06-95D1-6026141D45F4}" destId="{3F209420-2821-4649-B3F4-6C09130ADBC2}" srcOrd="0" destOrd="0" presId="urn:microsoft.com/office/officeart/2008/layout/AlternatingHexagons"/>
    <dgm:cxn modelId="{5CCD5283-041A-45B7-AEF6-7BCA15A80D7F}" type="presOf" srcId="{8EAD4A2B-3170-4D38-9E23-5D438225894D}" destId="{A56067B2-EE5E-409C-BC0E-D4B722D05012}" srcOrd="0" destOrd="0" presId="urn:microsoft.com/office/officeart/2008/layout/AlternatingHexagons"/>
    <dgm:cxn modelId="{8A977B9F-496A-41E8-9257-3FE63A16411E}" srcId="{2DCAC656-0643-41BF-B5B7-5F01494F1FB8}" destId="{01D86F22-000F-4570-81A4-A58DFC0028A7}" srcOrd="0" destOrd="0" parTransId="{0935EE91-4BF3-490A-9ABE-F6645D6ED8A8}" sibTransId="{C626BF3E-63EC-4517-A177-CCC2C83A5303}"/>
    <dgm:cxn modelId="{86204CA4-71E7-432D-BDAA-D9F82F2F0ED6}" type="presOf" srcId="{A67B12D5-BA9A-47E9-80B4-BC8C6BC87A7C}" destId="{E150D5FC-AE35-49D5-9D45-67B783A88E55}" srcOrd="0" destOrd="0" presId="urn:microsoft.com/office/officeart/2008/layout/AlternatingHexagons"/>
    <dgm:cxn modelId="{EE26E8D7-40F9-4DE2-AF88-83EF8A20FDDF}" srcId="{A67B12D5-BA9A-47E9-80B4-BC8C6BC87A7C}" destId="{8EAD4A2B-3170-4D38-9E23-5D438225894D}" srcOrd="2" destOrd="0" parTransId="{D9CBA958-8B77-41C9-BEE7-34EC7B89A92C}" sibTransId="{BE14B1CB-D26B-4B06-95D1-6026141D45F4}"/>
    <dgm:cxn modelId="{C2FF96E1-DF71-46F4-876B-23AD3FCC1D98}" type="presOf" srcId="{8C80BF9F-656B-48F1-B08C-6F78E5440242}" destId="{147DC082-6E7A-46F5-B510-6A6349DBDD5E}" srcOrd="0" destOrd="0" presId="urn:microsoft.com/office/officeart/2008/layout/AlternatingHexagons"/>
    <dgm:cxn modelId="{0219D2F7-A296-4F2D-A9E8-B2C691A5190B}" type="presOf" srcId="{01D86F22-000F-4570-81A4-A58DFC0028A7}" destId="{E1099131-3A50-4A1C-99A2-F2B2BA2425B7}" srcOrd="0" destOrd="0" presId="urn:microsoft.com/office/officeart/2008/layout/AlternatingHexagons"/>
    <dgm:cxn modelId="{818E8556-297E-4B27-A3AB-19AD6895AEEE}" type="presParOf" srcId="{E150D5FC-AE35-49D5-9D45-67B783A88E55}" destId="{2CFFEE45-6FE8-49B6-BE58-1B0D31338D94}" srcOrd="0" destOrd="0" presId="urn:microsoft.com/office/officeart/2008/layout/AlternatingHexagons"/>
    <dgm:cxn modelId="{D95C6DC5-B6D2-4930-B472-53F54D9F1F0E}" type="presParOf" srcId="{2CFFEE45-6FE8-49B6-BE58-1B0D31338D94}" destId="{DFEC0619-B85C-4034-B2B5-65EA7260E3AE}" srcOrd="0" destOrd="0" presId="urn:microsoft.com/office/officeart/2008/layout/AlternatingHexagons"/>
    <dgm:cxn modelId="{92DD38BC-5C96-43B8-BAC8-305D221A4BC0}" type="presParOf" srcId="{2CFFEE45-6FE8-49B6-BE58-1B0D31338D94}" destId="{FB74E1F1-36A3-40DB-9401-229C09B25130}" srcOrd="1" destOrd="0" presId="urn:microsoft.com/office/officeart/2008/layout/AlternatingHexagons"/>
    <dgm:cxn modelId="{CDD7485E-EA76-475C-84F0-8A362CE16355}" type="presParOf" srcId="{2CFFEE45-6FE8-49B6-BE58-1B0D31338D94}" destId="{285BC5B5-635D-4888-96CF-67C1DCA64DD5}" srcOrd="2" destOrd="0" presId="urn:microsoft.com/office/officeart/2008/layout/AlternatingHexagons"/>
    <dgm:cxn modelId="{707A618F-F66D-4927-B1F2-F56427A2E85C}" type="presParOf" srcId="{2CFFEE45-6FE8-49B6-BE58-1B0D31338D94}" destId="{D97C5A3D-F9A0-44D1-A1E6-E2685D872858}" srcOrd="3" destOrd="0" presId="urn:microsoft.com/office/officeart/2008/layout/AlternatingHexagons"/>
    <dgm:cxn modelId="{1BDCB6B6-CC68-4319-B9A4-5AEFB622D05F}" type="presParOf" srcId="{2CFFEE45-6FE8-49B6-BE58-1B0D31338D94}" destId="{147DC082-6E7A-46F5-B510-6A6349DBDD5E}" srcOrd="4" destOrd="0" presId="urn:microsoft.com/office/officeart/2008/layout/AlternatingHexagons"/>
    <dgm:cxn modelId="{D0AF08A6-8431-488F-A5D2-767B156443E6}" type="presParOf" srcId="{E150D5FC-AE35-49D5-9D45-67B783A88E55}" destId="{D78CD125-0DD3-4D8B-A22E-8843D07B1E9F}" srcOrd="1" destOrd="0" presId="urn:microsoft.com/office/officeart/2008/layout/AlternatingHexagons"/>
    <dgm:cxn modelId="{8A22A84D-441E-40E1-A524-40A24922620A}" type="presParOf" srcId="{E150D5FC-AE35-49D5-9D45-67B783A88E55}" destId="{2AF6BD62-09EC-4D5A-B7DF-D79B0922124A}" srcOrd="2" destOrd="0" presId="urn:microsoft.com/office/officeart/2008/layout/AlternatingHexagons"/>
    <dgm:cxn modelId="{02E53EE2-F7CF-4AD7-969E-4238C29B3B21}" type="presParOf" srcId="{2AF6BD62-09EC-4D5A-B7DF-D79B0922124A}" destId="{3F413BF7-E554-4BD0-B3D5-3E0D69B5FDF9}" srcOrd="0" destOrd="0" presId="urn:microsoft.com/office/officeart/2008/layout/AlternatingHexagons"/>
    <dgm:cxn modelId="{6E17C214-C63B-415E-88DA-3CB1AE5C0DB4}" type="presParOf" srcId="{2AF6BD62-09EC-4D5A-B7DF-D79B0922124A}" destId="{E1099131-3A50-4A1C-99A2-F2B2BA2425B7}" srcOrd="1" destOrd="0" presId="urn:microsoft.com/office/officeart/2008/layout/AlternatingHexagons"/>
    <dgm:cxn modelId="{560B79A7-4703-410E-97F9-A39B39EAF4B1}" type="presParOf" srcId="{2AF6BD62-09EC-4D5A-B7DF-D79B0922124A}" destId="{5AA491FF-2619-4893-9CBB-856BEC5813F6}" srcOrd="2" destOrd="0" presId="urn:microsoft.com/office/officeart/2008/layout/AlternatingHexagons"/>
    <dgm:cxn modelId="{CCBBD4AE-987E-4896-A5BB-759189930CA8}" type="presParOf" srcId="{2AF6BD62-09EC-4D5A-B7DF-D79B0922124A}" destId="{80E0F2DA-90DC-4B68-B3C6-BB01DC290FFB}" srcOrd="3" destOrd="0" presId="urn:microsoft.com/office/officeart/2008/layout/AlternatingHexagons"/>
    <dgm:cxn modelId="{0C49AAEE-1206-486C-B92E-3292BB4A6B5A}" type="presParOf" srcId="{2AF6BD62-09EC-4D5A-B7DF-D79B0922124A}" destId="{9623CF8A-C73C-4EEA-8E0D-D7EE2D9F3EEA}" srcOrd="4" destOrd="0" presId="urn:microsoft.com/office/officeart/2008/layout/AlternatingHexagons"/>
    <dgm:cxn modelId="{37EFC208-5925-4C70-8839-A7A3C36F2070}" type="presParOf" srcId="{E150D5FC-AE35-49D5-9D45-67B783A88E55}" destId="{78D78719-C516-4A95-82D5-6B6687AC9614}" srcOrd="3" destOrd="0" presId="urn:microsoft.com/office/officeart/2008/layout/AlternatingHexagons"/>
    <dgm:cxn modelId="{DDFD2D3C-85CE-4B38-AE2C-348DA441A729}" type="presParOf" srcId="{E150D5FC-AE35-49D5-9D45-67B783A88E55}" destId="{7CDD6196-6926-46CA-8E25-28901FAA8728}" srcOrd="4" destOrd="0" presId="urn:microsoft.com/office/officeart/2008/layout/AlternatingHexagons"/>
    <dgm:cxn modelId="{8A75D49E-0B6E-4DEF-8DD2-2D9E23403D9F}" type="presParOf" srcId="{7CDD6196-6926-46CA-8E25-28901FAA8728}" destId="{A56067B2-EE5E-409C-BC0E-D4B722D05012}" srcOrd="0" destOrd="0" presId="urn:microsoft.com/office/officeart/2008/layout/AlternatingHexagons"/>
    <dgm:cxn modelId="{4764DE2A-1B06-47CE-AC5F-79E457F1F80E}" type="presParOf" srcId="{7CDD6196-6926-46CA-8E25-28901FAA8728}" destId="{AAB3B91C-98E7-451C-A20C-0387DF0D9EC3}" srcOrd="1" destOrd="0" presId="urn:microsoft.com/office/officeart/2008/layout/AlternatingHexagons"/>
    <dgm:cxn modelId="{7A968D2A-D9A4-43FC-B654-DA6646D39410}" type="presParOf" srcId="{7CDD6196-6926-46CA-8E25-28901FAA8728}" destId="{B5E91D01-32B7-44BD-B2B0-DFCC7DE547C8}" srcOrd="2" destOrd="0" presId="urn:microsoft.com/office/officeart/2008/layout/AlternatingHexagons"/>
    <dgm:cxn modelId="{B82C331E-E16F-4D39-B4C0-F01B6FF1A93D}" type="presParOf" srcId="{7CDD6196-6926-46CA-8E25-28901FAA8728}" destId="{EA36E09C-45EA-49B6-82E3-67FCF6901BD1}" srcOrd="3" destOrd="0" presId="urn:microsoft.com/office/officeart/2008/layout/AlternatingHexagons"/>
    <dgm:cxn modelId="{07C908A3-A638-4759-BF42-F671211B9B35}" type="presParOf" srcId="{7CDD6196-6926-46CA-8E25-28901FAA8728}" destId="{3F209420-2821-4649-B3F4-6C09130ADBC2}" srcOrd="4" destOrd="0" presId="urn:microsoft.com/office/officeart/2008/layout/AlternatingHexagons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FEC0619-B85C-4034-B2B5-65EA7260E3AE}">
      <dsp:nvSpPr>
        <dsp:cNvPr id="0" name=""/>
        <dsp:cNvSpPr/>
      </dsp:nvSpPr>
      <dsp:spPr>
        <a:xfrm rot="5400000">
          <a:off x="2004230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59842"/>
        <a:ext cx="608282" cy="699175"/>
      </dsp:txXfrm>
    </dsp:sp>
    <dsp:sp modelId="{FB74E1F1-36A3-40DB-9401-229C09B25130}">
      <dsp:nvSpPr>
        <dsp:cNvPr id="0" name=""/>
        <dsp:cNvSpPr/>
      </dsp:nvSpPr>
      <dsp:spPr>
        <a:xfrm>
          <a:off x="2980774" y="20470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204704"/>
        <a:ext cx="1133579" cy="609451"/>
      </dsp:txXfrm>
    </dsp:sp>
    <dsp:sp modelId="{147DC082-6E7A-46F5-B510-6A6349DBDD5E}">
      <dsp:nvSpPr>
        <dsp:cNvPr id="0" name=""/>
        <dsp:cNvSpPr/>
      </dsp:nvSpPr>
      <dsp:spPr>
        <a:xfrm rot="5400000">
          <a:off x="1049829" y="6757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59842"/>
        <a:ext cx="608282" cy="699175"/>
      </dsp:txXfrm>
    </dsp:sp>
    <dsp:sp modelId="{3F413BF7-E554-4BD0-B3D5-3E0D69B5FDF9}">
      <dsp:nvSpPr>
        <dsp:cNvPr id="0" name=""/>
        <dsp:cNvSpPr/>
      </dsp:nvSpPr>
      <dsp:spPr>
        <a:xfrm rot="5400000">
          <a:off x="1525201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1728935" y="1022012"/>
        <a:ext cx="608282" cy="699175"/>
      </dsp:txXfrm>
    </dsp:sp>
    <dsp:sp modelId="{E1099131-3A50-4A1C-99A2-F2B2BA2425B7}">
      <dsp:nvSpPr>
        <dsp:cNvPr id="0" name=""/>
        <dsp:cNvSpPr/>
      </dsp:nvSpPr>
      <dsp:spPr>
        <a:xfrm>
          <a:off x="457646" y="1066874"/>
          <a:ext cx="1097012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99060" tIns="99060" rIns="99060" bIns="99060" numCol="1" spcCol="1270" anchor="ctr" anchorCtr="0">
          <a:noAutofit/>
        </a:bodyPr>
        <a:lstStyle/>
        <a:p>
          <a:pPr marL="0" lvl="0" indent="0" algn="r" defTabSz="11557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600" kern="1200"/>
        </a:p>
      </dsp:txBody>
      <dsp:txXfrm>
        <a:off x="457646" y="1066874"/>
        <a:ext cx="1097012" cy="609451"/>
      </dsp:txXfrm>
    </dsp:sp>
    <dsp:sp modelId="{9623CF8A-C73C-4EEA-8E0D-D7EE2D9F3EEA}">
      <dsp:nvSpPr>
        <dsp:cNvPr id="0" name=""/>
        <dsp:cNvSpPr/>
      </dsp:nvSpPr>
      <dsp:spPr>
        <a:xfrm rot="5400000">
          <a:off x="2479602" y="929747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2683336" y="1022012"/>
        <a:ext cx="608282" cy="699175"/>
      </dsp:txXfrm>
    </dsp:sp>
    <dsp:sp modelId="{A56067B2-EE5E-409C-BC0E-D4B722D05012}">
      <dsp:nvSpPr>
        <dsp:cNvPr id="0" name=""/>
        <dsp:cNvSpPr/>
      </dsp:nvSpPr>
      <dsp:spPr>
        <a:xfrm rot="5400000">
          <a:off x="2004230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53340" tIns="53340" rIns="53340" bIns="53340" numCol="1" spcCol="1270" anchor="ctr" anchorCtr="0">
          <a:noAutofit/>
        </a:bodyPr>
        <a:lstStyle/>
        <a:p>
          <a:pPr marL="0" lvl="0" indent="0" algn="ctr" defTabSz="622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1400" kern="1200"/>
        </a:p>
      </dsp:txBody>
      <dsp:txXfrm rot="-5400000">
        <a:off x="2207964" y="1884183"/>
        <a:ext cx="608282" cy="699175"/>
      </dsp:txXfrm>
    </dsp:sp>
    <dsp:sp modelId="{AAB3B91C-98E7-451C-A20C-0387DF0D9EC3}">
      <dsp:nvSpPr>
        <dsp:cNvPr id="0" name=""/>
        <dsp:cNvSpPr/>
      </dsp:nvSpPr>
      <dsp:spPr>
        <a:xfrm>
          <a:off x="2980774" y="1929044"/>
          <a:ext cx="1133579" cy="609451"/>
        </a:xfrm>
        <a:prstGeom prst="rect">
          <a:avLst/>
        </a:prstGeom>
        <a:noFill/>
        <a:ln>
          <a:noFill/>
        </a:ln>
        <a:effectLst/>
      </dsp:spPr>
      <dsp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02870" tIns="102870" rIns="102870" bIns="102870" numCol="1" spcCol="1270" anchor="ctr" anchorCtr="0">
          <a:noAutofit/>
        </a:bodyPr>
        <a:lstStyle/>
        <a:p>
          <a:pPr marL="0" lvl="0" indent="0" algn="l" defTabSz="12001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2700" kern="1200"/>
        </a:p>
      </dsp:txBody>
      <dsp:txXfrm>
        <a:off x="2980774" y="1929044"/>
        <a:ext cx="1133579" cy="609451"/>
      </dsp:txXfrm>
    </dsp:sp>
    <dsp:sp modelId="{3F209420-2821-4649-B3F4-6C09130ADBC2}">
      <dsp:nvSpPr>
        <dsp:cNvPr id="0" name=""/>
        <dsp:cNvSpPr/>
      </dsp:nvSpPr>
      <dsp:spPr>
        <a:xfrm rot="5400000">
          <a:off x="1049829" y="1791918"/>
          <a:ext cx="1015751" cy="883704"/>
        </a:xfrm>
        <a:prstGeom prst="hexagon">
          <a:avLst>
            <a:gd name="adj" fmla="val 25000"/>
            <a:gd name="vf" fmla="val 115470"/>
          </a:avLst>
        </a:prstGeom>
        <a:gradFill rotWithShape="0">
          <a:gsLst>
            <a:gs pos="0">
              <a:schemeClr val="accent1">
                <a:hueOff val="0"/>
                <a:satOff val="0"/>
                <a:lumOff val="0"/>
                <a:alphaOff val="0"/>
                <a:satMod val="103000"/>
                <a:lumMod val="102000"/>
                <a:tint val="94000"/>
              </a:schemeClr>
            </a:gs>
            <a:gs pos="50000">
              <a:schemeClr val="accent1">
                <a:hueOff val="0"/>
                <a:satOff val="0"/>
                <a:lumOff val="0"/>
                <a:alphaOff val="0"/>
                <a:satMod val="110000"/>
                <a:lumMod val="100000"/>
                <a:shade val="100000"/>
              </a:schemeClr>
            </a:gs>
            <a:gs pos="100000">
              <a:schemeClr val="accent1">
                <a:hueOff val="0"/>
                <a:satOff val="0"/>
                <a:lumOff val="0"/>
                <a:alphaOff val="0"/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/>
      </dsp:spPr>
      <dsp:style>
        <a:lnRef idx="0">
          <a:scrgbClr r="0" g="0" b="0"/>
        </a:lnRef>
        <a:fillRef idx="3">
          <a:scrgbClr r="0" g="0" b="0"/>
        </a:fillRef>
        <a:effectRef idx="2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16002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nl-NL" sz="3600" kern="1200"/>
        </a:p>
      </dsp:txBody>
      <dsp:txXfrm rot="-5400000">
        <a:off x="1253563" y="1884183"/>
        <a:ext cx="608282" cy="699175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8/layout/AlternatingHexagons">
  <dgm:title val=""/>
  <dgm:desc val=""/>
  <dgm:catLst>
    <dgm:cat type="list" pri="1500"/>
  </dgm:catLst>
  <dgm:sampData>
    <dgm:dataModel>
      <dgm:ptLst>
        <dgm:pt modelId="0" type="doc"/>
        <dgm:pt modelId="10">
          <dgm:prSet phldr="1"/>
        </dgm:pt>
        <dgm:pt modelId="11">
          <dgm:prSet phldr="1"/>
        </dgm:pt>
        <dgm:pt modelId="20">
          <dgm:prSet phldr="1"/>
        </dgm:pt>
        <dgm:pt modelId="21">
          <dgm:prSet phldr="1"/>
        </dgm:pt>
        <dgm:pt modelId="30">
          <dgm:prSet phldr="1"/>
        </dgm:pt>
        <dgm:pt modelId="31">
          <dgm:prSet phldr="1"/>
        </dgm:pt>
      </dgm:ptLst>
      <dgm:cxnLst>
        <dgm:cxn modelId="40" srcId="0" destId="10" srcOrd="0" destOrd="0"/>
        <dgm:cxn modelId="12" srcId="10" destId="11" srcOrd="0" destOrd="0"/>
        <dgm:cxn modelId="50" srcId="0" destId="20" srcOrd="1" destOrd="0"/>
        <dgm:cxn modelId="22" srcId="20" destId="21" srcOrd="0" destOrd="0"/>
        <dgm:cxn modelId="60" srcId="0" destId="30" srcOrd="1" destOrd="0"/>
        <dgm:cxn modelId="32" srcId="30" destId="31" srcOrd="0" destOrd="0"/>
      </dgm:cxnLst>
      <dgm:bg/>
      <dgm:whole/>
    </dgm:dataModel>
  </dgm:sampData>
  <dgm:styleData>
    <dgm:dataModel>
      <dgm:ptLst>
        <dgm:pt modelId="0" type="doc"/>
        <dgm:pt modelId="10">
          <dgm:prSet phldr="1"/>
        </dgm:pt>
        <dgm:pt modelId="20">
          <dgm:prSet phldr="1"/>
        </dgm:pt>
      </dgm:ptLst>
      <dgm:cxnLst>
        <dgm:cxn modelId="60" srcId="0" destId="10" srcOrd="0" destOrd="0"/>
        <dgm:cxn modelId="70" srcId="0" destId="20" srcOrd="1" destOrd="0"/>
      </dgm:cxnLst>
      <dgm:bg/>
      <dgm:whole/>
    </dgm:dataModel>
  </dgm:styleData>
  <dgm:clrData>
    <dgm:dataModel>
      <dgm:ptLst>
        <dgm:pt modelId="0" type="doc"/>
        <dgm:pt modelId="10">
          <dgm:prSet phldr="1"/>
        </dgm:pt>
        <dgm:pt modelId="20">
          <dgm:prSet phldr="1"/>
        </dgm:pt>
        <dgm:pt modelId="30">
          <dgm:prSet phldr="1"/>
        </dgm:pt>
        <dgm:pt modelId="40">
          <dgm:prSet phldr="1"/>
        </dgm:pt>
      </dgm:ptLst>
      <dgm:cxnLst>
        <dgm:cxn modelId="60" srcId="0" destId="10" srcOrd="0" destOrd="0"/>
        <dgm:cxn modelId="70" srcId="0" destId="20" srcOrd="1" destOrd="0"/>
        <dgm:cxn modelId="80" srcId="0" destId="30" srcOrd="2" destOrd="0"/>
        <dgm:cxn modelId="90" srcId="0" destId="40" srcOrd="3" destOrd="0"/>
      </dgm:cxnLst>
      <dgm:bg/>
      <dgm:whole/>
    </dgm:dataModel>
  </dgm:clrData>
  <dgm:layoutNode name="Name0">
    <dgm:varLst>
      <dgm:chMax/>
      <dgm:chPref/>
      <dgm:dir/>
      <dgm:animLvl val="lvl"/>
    </dgm:varLst>
    <dgm:alg type="lin">
      <dgm:param type="linDir" val="fromT"/>
    </dgm:alg>
    <dgm:shape xmlns:r="http://schemas.openxmlformats.org/officeDocument/2006/relationships" r:blip="">
      <dgm:adjLst/>
    </dgm:shape>
    <dgm:constrLst>
      <dgm:constr type="primFontSz" for="des" forName="Parent1" val="65"/>
      <dgm:constr type="primFontSz" for="des" forName="Childtext1" refType="primFontSz" refFor="des" refForName="Parent1" op="lte"/>
      <dgm:constr type="w" for="ch" forName="composite" refType="w"/>
      <dgm:constr type="h" for="ch" forName="composite" refType="h"/>
      <dgm:constr type="h" for="ch" forName="spaceBetweenRectangles" refType="w" refFor="ch" refForName="composite" fact="-0.042"/>
      <dgm:constr type="sp" refType="h" refFor="ch" refForName="composite" op="equ" fact="0.1"/>
    </dgm:constrLst>
    <dgm:forEach name="nodesForEach" axis="ch" ptType="node">
      <dgm:layoutNode name="composite">
        <dgm:alg type="composite">
          <dgm:param type="ar" val="3.6"/>
        </dgm:alg>
        <dgm:shape xmlns:r="http://schemas.openxmlformats.org/officeDocument/2006/relationships" r:blip="">
          <dgm:adjLst/>
        </dgm:shape>
        <dgm:choose name="Name1">
          <dgm:if name="Name2" func="var" arg="dir" op="equ" val="norm">
            <dgm:choose name="Name3">
              <dgm:if name="Name4" axis="self" ptType="node" func="posOdd" op="equ" val="1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/>
                  <dgm:constr type="h" for="ch" forName="BalanceSpacing" refType="h" fact="0.1"/>
                  <dgm:constr type="l" for="ch" forName="BalanceSpacing1" refType="w" fact="0.69"/>
                  <dgm:constr type="t" for="ch" forName="BalanceSpacing1" refType="h" fact="0.2"/>
                  <dgm:constr type="w" for="ch" forName="BalanceSpacing1" refType="w" fact="0.31"/>
                  <dgm:constr type="h" for="ch" forName="BalanceSpacing1" refType="h" fact="0.6"/>
                </dgm:constrLst>
              </dgm:if>
              <dgm:else name="Name5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  <dgm:constr type="l" for="ch" forName="BalanceSpacing1" refType="w" fact="0"/>
                  <dgm:constr type="t" for="ch" forName="BalanceSpacing1" refType="h" fact="0.2"/>
                  <dgm:constr type="w" for="ch" forName="BalanceSpacing1" refType="w" fact="0.3"/>
                  <dgm:constr type="h" for="ch" forName="BalanceSpacing1" refType="h" fact="0.6"/>
                </dgm:constrLst>
              </dgm:else>
            </dgm:choose>
          </dgm:if>
          <dgm:else name="Name6">
            <dgm:choose name="Name7">
              <dgm:if name="Name8" axis="self" ptType="node" func="posOdd" op="equ" val="1">
                <dgm:constrLst>
                  <dgm:constr type="l" for="ch" forName="Accent1" refType="w" fact="0.571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571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3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"/>
                  <dgm:constr type="t" for="ch" forName="Childtext1" refType="h" fact="0.2"/>
                  <dgm:constr type="w" for="ch" forName="Childtext1" refType="w" fact="0.3"/>
                  <dgm:constr type="h" for="ch" forName="Childtext1" refType="h" fact="0.6"/>
                  <dgm:constr type="l" for="ch" forName="BalanceSpacing" refType="w" fact="0.82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if>
              <dgm:else name="Name9">
                <dgm:constrLst>
                  <dgm:constr type="l" for="ch" forName="Accent1" refType="w" fact="0.18"/>
                  <dgm:constr type="t" for="ch" forName="Accent1" refType="h" fact="0"/>
                  <dgm:constr type="h" for="ch" forName="Accent1" refType="h"/>
                  <dgm:constr type="w" for="ch" forName="Accent1" refType="h" fact="0.87"/>
                  <dgm:constr type="l" for="ch" forName="Accent1Text" refType="w" fact="0.18"/>
                  <dgm:constr type="t" for="ch" forName="Accent1Text" refType="h" fact="0"/>
                  <dgm:constr type="h" for="ch" forName="Accent1Text" refType="h"/>
                  <dgm:constr type="w" for="ch" forName="Accent1Text" refType="h" fact="0.87"/>
                  <dgm:constr type="l" for="ch" forName="Parent1" refType="w" fact="0.441"/>
                  <dgm:constr type="t" for="ch" forName="Parent1" refType="h" fact="0"/>
                  <dgm:constr type="h" for="ch" forName="Parent1" refType="h"/>
                  <dgm:constr type="w" for="ch" forName="Parent1" refType="h" fact="0.87"/>
                  <dgm:constr type="l" for="ch" forName="Childtext1" refType="w" fact="0.69"/>
                  <dgm:constr type="t" for="ch" forName="Childtext1" refType="h" fact="0.2"/>
                  <dgm:constr type="w" for="ch" forName="Childtext1" refType="w" fact="0.31"/>
                  <dgm:constr type="h" for="ch" forName="Childtext1" refType="h" fact="0.6"/>
                  <dgm:constr type="l" for="ch" forName="BalanceSpacing" refType="w" fact="0"/>
                  <dgm:constr type="t" for="ch" forName="BalanceSpacing" refType="h" fact="0"/>
                  <dgm:constr type="w" for="ch" forName="BalanceSpacing" refType="w" fact="0.18"/>
                  <dgm:constr type="h" for="ch" forName="BalanceSpacing" refType="h"/>
                </dgm:constrLst>
              </dgm:else>
            </dgm:choose>
          </dgm:else>
        </dgm:choose>
        <dgm:layoutNode name="Parent1" styleLbl="node1">
          <dgm:varLst>
            <dgm:chMax val="1"/>
            <dgm:chPref val="1"/>
            <dgm:bulletEnabled val="1"/>
          </dgm:varLst>
          <dgm:alg type="tx"/>
          <dgm:shape xmlns:r="http://schemas.openxmlformats.org/officeDocument/2006/relationships" rot="90" type="hexagon" r:blip="">
            <dgm:adjLst>
              <dgm:adj idx="1" val="0.25"/>
              <dgm:adj idx="2" val="1.1547"/>
            </dgm:adjLst>
          </dgm:shape>
          <dgm:presOf axis="self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Childtext1" styleLbl="revTx">
          <dgm:varLst>
            <dgm:chMax val="0"/>
            <dgm:chPref val="0"/>
            <dgm:bulletEnabled val="1"/>
          </dgm:varLst>
          <dgm:choose name="Name10">
            <dgm:if name="Name11" func="var" arg="dir" op="equ" val="norm">
              <dgm:choose name="Name12">
                <dgm:if name="Name13" axis="self" ptType="node" func="posOdd" op="equ" val="1">
                  <dgm:alg type="tx">
                    <dgm:param type="parTxLTRAlign" val="l"/>
                  </dgm:alg>
                </dgm:if>
                <dgm:else name="Name14">
                  <dgm:alg type="tx">
                    <dgm:param type="parTxLTRAlign" val="r"/>
                  </dgm:alg>
                </dgm:else>
              </dgm:choose>
            </dgm:if>
            <dgm:else name="Name15">
              <dgm:choose name="Name16">
                <dgm:if name="Name17" axis="self" ptType="node" func="posOdd" op="equ" val="1">
                  <dgm:alg type="tx">
                    <dgm:param type="parTxLTRAlign" val="r"/>
                  </dgm:alg>
                </dgm:if>
                <dgm:else name="Name18">
                  <dgm:alg type="tx">
                    <dgm:param type="parTxLTRAlign" val="l"/>
                  </dgm:alg>
                </dgm:else>
              </dgm:choose>
            </dgm:else>
          </dgm:choose>
          <dgm:shape xmlns:r="http://schemas.openxmlformats.org/officeDocument/2006/relationships" type="rect" r:blip="">
            <dgm:adjLst/>
          </dgm:shape>
          <dgm:presOf axis="des" ptType="node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  <dgm:layoutNode name="BalanceSpacing">
          <dgm:alg type="sp"/>
          <dgm:shape xmlns:r="http://schemas.openxmlformats.org/officeDocument/2006/relationships" r:blip="">
            <dgm:adjLst/>
          </dgm:shape>
        </dgm:layoutNode>
        <dgm:layoutNode name="BalanceSpacing1">
          <dgm:alg type="sp"/>
          <dgm:shape xmlns:r="http://schemas.openxmlformats.org/officeDocument/2006/relationships" r:blip="">
            <dgm:adjLst/>
          </dgm:shape>
        </dgm:layoutNode>
        <dgm:forEach name="Name19" axis="followSib" ptType="sibTrans" hideLastTrans="0" cnt="1">
          <dgm:layoutNode name="Accent1Text" styleLbl="node1">
            <dgm:alg type="tx"/>
            <dgm:shape xmlns:r="http://schemas.openxmlformats.org/officeDocument/2006/relationships" rot="90" type="hexagon" r:blip="">
              <dgm:adjLst>
                <dgm:adj idx="1" val="0.25"/>
                <dgm:adj idx="2" val="1.1547"/>
              </dgm:adjLst>
            </dgm:shape>
            <dgm:presOf axis="self" ptType="sibTrans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forEach>
      </dgm:layoutNode>
      <dgm:forEach name="Name20" axis="followSib" ptType="sibTrans" cnt="1">
        <dgm:layoutNode name="spaceBetweenRectangles">
          <dgm:alg type="sp"/>
          <dgm:shape xmlns:r="http://schemas.openxmlformats.org/officeDocument/2006/relationships" r:blip="">
            <dgm:adjLst/>
          </dgm:shape>
          <dgm:presOf/>
          <dgm:constrLst/>
          <dgm:ruleLst/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4">
  <dgm:title val=""/>
  <dgm:desc val=""/>
  <dgm:catLst>
    <dgm:cat type="simple" pri="104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1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1">
        <a:scrgbClr r="0" g="0" b="0"/>
      </a:lnRef>
      <a:fillRef idx="3">
        <a:scrgbClr r="0" g="0" b="0"/>
      </a:fillRef>
      <a:effectRef idx="2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2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3">
        <a:scrgbClr r="0" g="0" b="0"/>
      </a:fillRef>
      <a:effectRef idx="2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382121</xdr:colOff>
      <xdr:row>11</xdr:row>
      <xdr:rowOff>140634</xdr:rowOff>
    </xdr:from>
    <xdr:to>
      <xdr:col>22</xdr:col>
      <xdr:colOff>205247</xdr:colOff>
      <xdr:row>16</xdr:row>
      <xdr:rowOff>79003</xdr:rowOff>
    </xdr:to>
    <xdr:sp macro="" textlink="">
      <xdr:nvSpPr>
        <xdr:cNvPr id="6" name="Zeshoek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12484474" y="223613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Willem II</a:t>
          </a:r>
        </a:p>
      </xdr:txBody>
    </xdr:sp>
    <xdr:clientData/>
  </xdr:twoCellAnchor>
  <xdr:twoCellAnchor>
    <xdr:from>
      <xdr:col>20</xdr:col>
      <xdr:colOff>391646</xdr:colOff>
      <xdr:row>7</xdr:row>
      <xdr:rowOff>10085</xdr:rowOff>
    </xdr:from>
    <xdr:to>
      <xdr:col>22</xdr:col>
      <xdr:colOff>214772</xdr:colOff>
      <xdr:row>11</xdr:row>
      <xdr:rowOff>138954</xdr:rowOff>
    </xdr:to>
    <xdr:sp macro="" textlink="S16">
      <xdr:nvSpPr>
        <xdr:cNvPr id="7" name="Zeshoek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12493999" y="134358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605116</xdr:colOff>
      <xdr:row>9</xdr:row>
      <xdr:rowOff>78441</xdr:rowOff>
    </xdr:from>
    <xdr:to>
      <xdr:col>23</xdr:col>
      <xdr:colOff>428243</xdr:colOff>
      <xdr:row>14</xdr:row>
      <xdr:rowOff>16810</xdr:rowOff>
    </xdr:to>
    <xdr:sp macro="" textlink="">
      <xdr:nvSpPr>
        <xdr:cNvPr id="8" name="Zeshoe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3312587" y="1792941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174812</xdr:colOff>
      <xdr:row>9</xdr:row>
      <xdr:rowOff>62753</xdr:rowOff>
    </xdr:from>
    <xdr:to>
      <xdr:col>20</xdr:col>
      <xdr:colOff>603056</xdr:colOff>
      <xdr:row>14</xdr:row>
      <xdr:rowOff>1122</xdr:rowOff>
    </xdr:to>
    <xdr:sp macro="" textlink="">
      <xdr:nvSpPr>
        <xdr:cNvPr id="9" name="Zeshoe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672047" y="1777253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209964</xdr:colOff>
      <xdr:row>11</xdr:row>
      <xdr:rowOff>151986</xdr:rowOff>
    </xdr:from>
    <xdr:to>
      <xdr:col>25</xdr:col>
      <xdr:colOff>20812</xdr:colOff>
      <xdr:row>16</xdr:row>
      <xdr:rowOff>90355</xdr:rowOff>
    </xdr:to>
    <xdr:sp macro="" textlink="">
      <xdr:nvSpPr>
        <xdr:cNvPr id="10" name="Zeshoe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14306964" y="2247486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Beekse</a:t>
          </a:r>
        </a:p>
        <a:p>
          <a:pPr algn="ctr"/>
          <a:r>
            <a:rPr lang="nl-NL" b="1"/>
            <a:t>Bergen</a:t>
          </a:r>
        </a:p>
        <a:p>
          <a:pPr algn="ctr"/>
          <a:endParaRPr lang="nl-NL" b="1"/>
        </a:p>
      </xdr:txBody>
    </xdr:sp>
    <xdr:clientData/>
  </xdr:twoCellAnchor>
  <xdr:twoCellAnchor>
    <xdr:from>
      <xdr:col>17</xdr:col>
      <xdr:colOff>571500</xdr:colOff>
      <xdr:row>11</xdr:row>
      <xdr:rowOff>134471</xdr:rowOff>
    </xdr:from>
    <xdr:to>
      <xdr:col>19</xdr:col>
      <xdr:colOff>390144</xdr:colOff>
      <xdr:row>16</xdr:row>
      <xdr:rowOff>72840</xdr:rowOff>
    </xdr:to>
    <xdr:sp macro="" textlink="">
      <xdr:nvSpPr>
        <xdr:cNvPr id="11" name="Zeshoe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10858500" y="222997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Donders</a:t>
          </a:r>
        </a:p>
        <a:p>
          <a:pPr algn="ctr"/>
          <a:endParaRPr lang="nl-NL" b="1"/>
        </a:p>
      </xdr:txBody>
    </xdr:sp>
    <xdr:clientData/>
  </xdr:twoCellAnchor>
  <xdr:twoCellAnchor>
    <xdr:from>
      <xdr:col>19</xdr:col>
      <xdr:colOff>173935</xdr:colOff>
      <xdr:row>14</xdr:row>
      <xdr:rowOff>0</xdr:rowOff>
    </xdr:from>
    <xdr:to>
      <xdr:col>20</xdr:col>
      <xdr:colOff>602179</xdr:colOff>
      <xdr:row>18</xdr:row>
      <xdr:rowOff>128869</xdr:rowOff>
    </xdr:to>
    <xdr:sp macro="" textlink="">
      <xdr:nvSpPr>
        <xdr:cNvPr id="13" name="Zeshoe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1819283" y="2667000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604631</xdr:colOff>
      <xdr:row>14</xdr:row>
      <xdr:rowOff>16566</xdr:rowOff>
    </xdr:from>
    <xdr:to>
      <xdr:col>23</xdr:col>
      <xdr:colOff>419962</xdr:colOff>
      <xdr:row>18</xdr:row>
      <xdr:rowOff>145435</xdr:rowOff>
    </xdr:to>
    <xdr:sp macro="" textlink="">
      <xdr:nvSpPr>
        <xdr:cNvPr id="14" name="Zeshoe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3475805" y="268356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389282</xdr:colOff>
      <xdr:row>16</xdr:row>
      <xdr:rowOff>82826</xdr:rowOff>
    </xdr:from>
    <xdr:to>
      <xdr:col>22</xdr:col>
      <xdr:colOff>204613</xdr:colOff>
      <xdr:row>21</xdr:row>
      <xdr:rowOff>21195</xdr:rowOff>
    </xdr:to>
    <xdr:sp macro="" textlink="">
      <xdr:nvSpPr>
        <xdr:cNvPr id="15" name="Zeshoek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2647543" y="3130826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574814</xdr:colOff>
      <xdr:row>16</xdr:row>
      <xdr:rowOff>69574</xdr:rowOff>
    </xdr:from>
    <xdr:to>
      <xdr:col>19</xdr:col>
      <xdr:colOff>397940</xdr:colOff>
      <xdr:row>21</xdr:row>
      <xdr:rowOff>7943</xdr:rowOff>
    </xdr:to>
    <xdr:sp macro="" textlink="">
      <xdr:nvSpPr>
        <xdr:cNvPr id="16" name="Zeshoek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10994336" y="3117574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197127</xdr:colOff>
      <xdr:row>16</xdr:row>
      <xdr:rowOff>89452</xdr:rowOff>
    </xdr:from>
    <xdr:to>
      <xdr:col>25</xdr:col>
      <xdr:colOff>20253</xdr:colOff>
      <xdr:row>21</xdr:row>
      <xdr:rowOff>27821</xdr:rowOff>
    </xdr:to>
    <xdr:sp macro="" textlink="">
      <xdr:nvSpPr>
        <xdr:cNvPr id="17" name="Zeshoe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14294127" y="3137452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358004</xdr:colOff>
      <xdr:row>14</xdr:row>
      <xdr:rowOff>4775</xdr:rowOff>
    </xdr:from>
    <xdr:to>
      <xdr:col>18</xdr:col>
      <xdr:colOff>173335</xdr:colOff>
      <xdr:row>18</xdr:row>
      <xdr:rowOff>133644</xdr:rowOff>
    </xdr:to>
    <xdr:sp macro="" textlink="">
      <xdr:nvSpPr>
        <xdr:cNvPr id="18" name="Zeshoe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0164613" y="2671775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133032</xdr:colOff>
      <xdr:row>16</xdr:row>
      <xdr:rowOff>66261</xdr:rowOff>
    </xdr:from>
    <xdr:to>
      <xdr:col>16</xdr:col>
      <xdr:colOff>569071</xdr:colOff>
      <xdr:row>21</xdr:row>
      <xdr:rowOff>4630</xdr:rowOff>
    </xdr:to>
    <xdr:sp macro="" textlink="">
      <xdr:nvSpPr>
        <xdr:cNvPr id="19" name="Zeshoe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9326728" y="3114261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529111</xdr:colOff>
      <xdr:row>18</xdr:row>
      <xdr:rowOff>118929</xdr:rowOff>
    </xdr:from>
    <xdr:to>
      <xdr:col>15</xdr:col>
      <xdr:colOff>344442</xdr:colOff>
      <xdr:row>23</xdr:row>
      <xdr:rowOff>57298</xdr:rowOff>
    </xdr:to>
    <xdr:sp macro="" textlink="">
      <xdr:nvSpPr>
        <xdr:cNvPr id="20" name="Zeshoe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8496981" y="3547929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Anton</a:t>
          </a:r>
        </a:p>
        <a:p>
          <a:pPr algn="ctr"/>
          <a:r>
            <a:rPr lang="nl-NL" b="1"/>
            <a:t>Philips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312886</xdr:colOff>
      <xdr:row>21</xdr:row>
      <xdr:rowOff>147</xdr:rowOff>
    </xdr:from>
    <xdr:to>
      <xdr:col>14</xdr:col>
      <xdr:colOff>131530</xdr:colOff>
      <xdr:row>25</xdr:row>
      <xdr:rowOff>129016</xdr:rowOff>
    </xdr:to>
    <xdr:sp macro="" textlink="">
      <xdr:nvSpPr>
        <xdr:cNvPr id="21" name="Zeshoe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7667843" y="4000647"/>
          <a:ext cx="104447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99391</xdr:colOff>
      <xdr:row>23</xdr:row>
      <xdr:rowOff>60951</xdr:rowOff>
    </xdr:from>
    <xdr:to>
      <xdr:col>12</xdr:col>
      <xdr:colOff>527634</xdr:colOff>
      <xdr:row>27</xdr:row>
      <xdr:rowOff>189820</xdr:rowOff>
    </xdr:to>
    <xdr:sp macro="" textlink="">
      <xdr:nvSpPr>
        <xdr:cNvPr id="22" name="Zeshoe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/>
      </xdr:nvSpPr>
      <xdr:spPr>
        <a:xfrm>
          <a:off x="6841434" y="4442451"/>
          <a:ext cx="104115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24</xdr:col>
      <xdr:colOff>414130</xdr:colOff>
      <xdr:row>14</xdr:row>
      <xdr:rowOff>24848</xdr:rowOff>
    </xdr:from>
    <xdr:to>
      <xdr:col>26</xdr:col>
      <xdr:colOff>237257</xdr:colOff>
      <xdr:row>18</xdr:row>
      <xdr:rowOff>153717</xdr:rowOff>
    </xdr:to>
    <xdr:sp macro="" textlink="">
      <xdr:nvSpPr>
        <xdr:cNvPr id="23" name="Zeshoe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15124043" y="2691848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16566</xdr:colOff>
      <xdr:row>16</xdr:row>
      <xdr:rowOff>91109</xdr:rowOff>
    </xdr:from>
    <xdr:to>
      <xdr:col>27</xdr:col>
      <xdr:colOff>452605</xdr:colOff>
      <xdr:row>21</xdr:row>
      <xdr:rowOff>29478</xdr:rowOff>
    </xdr:to>
    <xdr:sp macro="" textlink="">
      <xdr:nvSpPr>
        <xdr:cNvPr id="24" name="Zeshoe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5952305" y="3139109"/>
          <a:ext cx="104895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27</xdr:col>
      <xdr:colOff>230036</xdr:colOff>
      <xdr:row>18</xdr:row>
      <xdr:rowOff>159465</xdr:rowOff>
    </xdr:from>
    <xdr:to>
      <xdr:col>29</xdr:col>
      <xdr:colOff>53163</xdr:colOff>
      <xdr:row>23</xdr:row>
      <xdr:rowOff>97834</xdr:rowOff>
    </xdr:to>
    <xdr:sp macro="" textlink="">
      <xdr:nvSpPr>
        <xdr:cNvPr id="25" name="Zeshoe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16778688" y="3588465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Biesbosch</a:t>
          </a:r>
        </a:p>
      </xdr:txBody>
    </xdr:sp>
    <xdr:clientData/>
  </xdr:twoCellAnchor>
  <xdr:twoCellAnchor>
    <xdr:from>
      <xdr:col>28</xdr:col>
      <xdr:colOff>447797</xdr:colOff>
      <xdr:row>21</xdr:row>
      <xdr:rowOff>42510</xdr:rowOff>
    </xdr:from>
    <xdr:to>
      <xdr:col>30</xdr:col>
      <xdr:colOff>258645</xdr:colOff>
      <xdr:row>25</xdr:row>
      <xdr:rowOff>171379</xdr:rowOff>
    </xdr:to>
    <xdr:sp macro="" textlink="">
      <xdr:nvSpPr>
        <xdr:cNvPr id="26" name="Zeshoe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/>
      </xdr:nvSpPr>
      <xdr:spPr>
        <a:xfrm>
          <a:off x="17609362" y="4043010"/>
          <a:ext cx="103667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39050</xdr:colOff>
      <xdr:row>23</xdr:row>
      <xdr:rowOff>105872</xdr:rowOff>
    </xdr:from>
    <xdr:to>
      <xdr:col>31</xdr:col>
      <xdr:colOff>475090</xdr:colOff>
      <xdr:row>28</xdr:row>
      <xdr:rowOff>44241</xdr:rowOff>
    </xdr:to>
    <xdr:sp macro="" textlink="">
      <xdr:nvSpPr>
        <xdr:cNvPr id="27" name="Zeshoe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8426441" y="4487372"/>
          <a:ext cx="1048953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190500</xdr:colOff>
      <xdr:row>18</xdr:row>
      <xdr:rowOff>145676</xdr:rowOff>
    </xdr:from>
    <xdr:to>
      <xdr:col>21</xdr:col>
      <xdr:colOff>9143</xdr:colOff>
      <xdr:row>23</xdr:row>
      <xdr:rowOff>84045</xdr:rowOff>
    </xdr:to>
    <xdr:sp macro="" textlink="">
      <xdr:nvSpPr>
        <xdr:cNvPr id="28" name="Zeshoe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SpPr/>
      </xdr:nvSpPr>
      <xdr:spPr>
        <a:xfrm>
          <a:off x="11687735" y="3574676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589429</xdr:colOff>
      <xdr:row>18</xdr:row>
      <xdr:rowOff>152400</xdr:rowOff>
    </xdr:from>
    <xdr:to>
      <xdr:col>23</xdr:col>
      <xdr:colOff>408073</xdr:colOff>
      <xdr:row>23</xdr:row>
      <xdr:rowOff>90769</xdr:rowOff>
    </xdr:to>
    <xdr:sp macro="" textlink="">
      <xdr:nvSpPr>
        <xdr:cNvPr id="29" name="Zeshoe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SpPr/>
      </xdr:nvSpPr>
      <xdr:spPr>
        <a:xfrm>
          <a:off x="13296900" y="35814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392206</xdr:colOff>
      <xdr:row>21</xdr:row>
      <xdr:rowOff>33617</xdr:rowOff>
    </xdr:from>
    <xdr:to>
      <xdr:col>22</xdr:col>
      <xdr:colOff>215332</xdr:colOff>
      <xdr:row>25</xdr:row>
      <xdr:rowOff>162486</xdr:rowOff>
    </xdr:to>
    <xdr:sp macro="" textlink="">
      <xdr:nvSpPr>
        <xdr:cNvPr id="30" name="Zeshoe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SpPr/>
      </xdr:nvSpPr>
      <xdr:spPr>
        <a:xfrm>
          <a:off x="12494559" y="40341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Met Dubbel S</a:t>
          </a:r>
        </a:p>
        <a:p>
          <a:pPr algn="ctr"/>
          <a:endParaRPr lang="nl-NL" b="1"/>
        </a:p>
      </xdr:txBody>
    </xdr:sp>
    <xdr:clientData/>
  </xdr:twoCellAnchor>
  <xdr:twoCellAnchor>
    <xdr:from>
      <xdr:col>16</xdr:col>
      <xdr:colOff>358588</xdr:colOff>
      <xdr:row>18</xdr:row>
      <xdr:rowOff>145677</xdr:rowOff>
    </xdr:from>
    <xdr:to>
      <xdr:col>18</xdr:col>
      <xdr:colOff>177231</xdr:colOff>
      <xdr:row>23</xdr:row>
      <xdr:rowOff>84046</xdr:rowOff>
    </xdr:to>
    <xdr:sp macro="" textlink="">
      <xdr:nvSpPr>
        <xdr:cNvPr id="31" name="Zeshoe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SpPr/>
      </xdr:nvSpPr>
      <xdr:spPr>
        <a:xfrm>
          <a:off x="10040470" y="357467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414616</xdr:colOff>
      <xdr:row>18</xdr:row>
      <xdr:rowOff>168088</xdr:rowOff>
    </xdr:from>
    <xdr:to>
      <xdr:col>26</xdr:col>
      <xdr:colOff>233260</xdr:colOff>
      <xdr:row>23</xdr:row>
      <xdr:rowOff>106457</xdr:rowOff>
    </xdr:to>
    <xdr:sp macro="" textlink="">
      <xdr:nvSpPr>
        <xdr:cNvPr id="32" name="Zeshoe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/>
      </xdr:nvSpPr>
      <xdr:spPr>
        <a:xfrm>
          <a:off x="14937440" y="35970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134470</xdr:colOff>
      <xdr:row>21</xdr:row>
      <xdr:rowOff>0</xdr:rowOff>
    </xdr:from>
    <xdr:to>
      <xdr:col>16</xdr:col>
      <xdr:colOff>562714</xdr:colOff>
      <xdr:row>25</xdr:row>
      <xdr:rowOff>128869</xdr:rowOff>
    </xdr:to>
    <xdr:sp macro="" textlink="">
      <xdr:nvSpPr>
        <xdr:cNvPr id="33" name="Zeshoe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SpPr/>
      </xdr:nvSpPr>
      <xdr:spPr>
        <a:xfrm>
          <a:off x="9211235" y="400050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 040</a:t>
          </a:r>
        </a:p>
        <a:p>
          <a:pPr algn="ctr"/>
          <a:endParaRPr lang="nl-NL" b="1"/>
        </a:p>
      </xdr:txBody>
    </xdr:sp>
    <xdr:clientData/>
  </xdr:twoCellAnchor>
  <xdr:twoCellAnchor>
    <xdr:from>
      <xdr:col>12</xdr:col>
      <xdr:colOff>302558</xdr:colOff>
      <xdr:row>25</xdr:row>
      <xdr:rowOff>134470</xdr:rowOff>
    </xdr:from>
    <xdr:to>
      <xdr:col>14</xdr:col>
      <xdr:colOff>125684</xdr:colOff>
      <xdr:row>30</xdr:row>
      <xdr:rowOff>72839</xdr:rowOff>
    </xdr:to>
    <xdr:sp macro="" textlink="">
      <xdr:nvSpPr>
        <xdr:cNvPr id="34" name="Zeshoe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SpPr/>
      </xdr:nvSpPr>
      <xdr:spPr>
        <a:xfrm>
          <a:off x="7563970" y="4896970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Alaaf</a:t>
          </a:r>
        </a:p>
      </xdr:txBody>
    </xdr:sp>
    <xdr:clientData/>
  </xdr:twoCellAnchor>
  <xdr:twoCellAnchor>
    <xdr:from>
      <xdr:col>13</xdr:col>
      <xdr:colOff>515471</xdr:colOff>
      <xdr:row>23</xdr:row>
      <xdr:rowOff>67235</xdr:rowOff>
    </xdr:from>
    <xdr:to>
      <xdr:col>15</xdr:col>
      <xdr:colOff>346391</xdr:colOff>
      <xdr:row>28</xdr:row>
      <xdr:rowOff>5604</xdr:rowOff>
    </xdr:to>
    <xdr:sp macro="" textlink="">
      <xdr:nvSpPr>
        <xdr:cNvPr id="35" name="Zeshoe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/>
      </xdr:nvSpPr>
      <xdr:spPr>
        <a:xfrm>
          <a:off x="8382000" y="4448735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13</xdr:col>
      <xdr:colOff>515471</xdr:colOff>
      <xdr:row>28</xdr:row>
      <xdr:rowOff>22412</xdr:rowOff>
    </xdr:from>
    <xdr:to>
      <xdr:col>15</xdr:col>
      <xdr:colOff>334114</xdr:colOff>
      <xdr:row>32</xdr:row>
      <xdr:rowOff>151281</xdr:rowOff>
    </xdr:to>
    <xdr:sp macro="" textlink="">
      <xdr:nvSpPr>
        <xdr:cNvPr id="36" name="Zeshoe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SpPr/>
      </xdr:nvSpPr>
      <xdr:spPr>
        <a:xfrm>
          <a:off x="8382000" y="535641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25</xdr:row>
      <xdr:rowOff>145677</xdr:rowOff>
    </xdr:from>
    <xdr:to>
      <xdr:col>16</xdr:col>
      <xdr:colOff>543715</xdr:colOff>
      <xdr:row>30</xdr:row>
      <xdr:rowOff>84046</xdr:rowOff>
    </xdr:to>
    <xdr:sp macro="" textlink="">
      <xdr:nvSpPr>
        <xdr:cNvPr id="37" name="Zeshoe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SpPr/>
      </xdr:nvSpPr>
      <xdr:spPr>
        <a:xfrm>
          <a:off x="9200030" y="490817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336177</xdr:colOff>
      <xdr:row>23</xdr:row>
      <xdr:rowOff>78441</xdr:rowOff>
    </xdr:from>
    <xdr:to>
      <xdr:col>18</xdr:col>
      <xdr:colOff>167097</xdr:colOff>
      <xdr:row>28</xdr:row>
      <xdr:rowOff>16810</xdr:rowOff>
    </xdr:to>
    <xdr:sp macro="" textlink="">
      <xdr:nvSpPr>
        <xdr:cNvPr id="38" name="Zeshoe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SpPr/>
      </xdr:nvSpPr>
      <xdr:spPr>
        <a:xfrm>
          <a:off x="10018059" y="4459941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571500</xdr:colOff>
      <xdr:row>21</xdr:row>
      <xdr:rowOff>22412</xdr:rowOff>
    </xdr:from>
    <xdr:to>
      <xdr:col>19</xdr:col>
      <xdr:colOff>386832</xdr:colOff>
      <xdr:row>25</xdr:row>
      <xdr:rowOff>151281</xdr:rowOff>
    </xdr:to>
    <xdr:sp macro="" textlink="">
      <xdr:nvSpPr>
        <xdr:cNvPr id="39" name="Zeshoe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10858500" y="4022912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179295</xdr:colOff>
      <xdr:row>23</xdr:row>
      <xdr:rowOff>100852</xdr:rowOff>
    </xdr:from>
    <xdr:to>
      <xdr:col>21</xdr:col>
      <xdr:colOff>2421</xdr:colOff>
      <xdr:row>28</xdr:row>
      <xdr:rowOff>39221</xdr:rowOff>
    </xdr:to>
    <xdr:sp macro="" textlink="">
      <xdr:nvSpPr>
        <xdr:cNvPr id="40" name="Zeshoe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SpPr/>
      </xdr:nvSpPr>
      <xdr:spPr>
        <a:xfrm>
          <a:off x="11676530" y="4482352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201706</xdr:colOff>
      <xdr:row>21</xdr:row>
      <xdr:rowOff>33618</xdr:rowOff>
    </xdr:from>
    <xdr:to>
      <xdr:col>25</xdr:col>
      <xdr:colOff>24833</xdr:colOff>
      <xdr:row>25</xdr:row>
      <xdr:rowOff>162487</xdr:rowOff>
    </xdr:to>
    <xdr:sp macro="" textlink="">
      <xdr:nvSpPr>
        <xdr:cNvPr id="41" name="Zeshoe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SpPr/>
      </xdr:nvSpPr>
      <xdr:spPr>
        <a:xfrm>
          <a:off x="14119412" y="4034118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22412</xdr:colOff>
      <xdr:row>21</xdr:row>
      <xdr:rowOff>44823</xdr:rowOff>
    </xdr:from>
    <xdr:to>
      <xdr:col>27</xdr:col>
      <xdr:colOff>450656</xdr:colOff>
      <xdr:row>25</xdr:row>
      <xdr:rowOff>173692</xdr:rowOff>
    </xdr:to>
    <xdr:sp macro="" textlink="">
      <xdr:nvSpPr>
        <xdr:cNvPr id="42" name="Zeshoe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/>
      </xdr:nvSpPr>
      <xdr:spPr>
        <a:xfrm>
          <a:off x="15755471" y="40453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Natuur</a:t>
          </a:r>
        </a:p>
      </xdr:txBody>
    </xdr:sp>
    <xdr:clientData/>
  </xdr:twoCellAnchor>
  <xdr:twoCellAnchor>
    <xdr:from>
      <xdr:col>27</xdr:col>
      <xdr:colOff>212912</xdr:colOff>
      <xdr:row>23</xdr:row>
      <xdr:rowOff>100853</xdr:rowOff>
    </xdr:from>
    <xdr:to>
      <xdr:col>29</xdr:col>
      <xdr:colOff>43832</xdr:colOff>
      <xdr:row>28</xdr:row>
      <xdr:rowOff>39222</xdr:rowOff>
    </xdr:to>
    <xdr:sp macro="" textlink="">
      <xdr:nvSpPr>
        <xdr:cNvPr id="43" name="Zeshoe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/>
      </xdr:nvSpPr>
      <xdr:spPr>
        <a:xfrm>
          <a:off x="16551088" y="4482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437030</xdr:colOff>
      <xdr:row>25</xdr:row>
      <xdr:rowOff>179294</xdr:rowOff>
    </xdr:from>
    <xdr:to>
      <xdr:col>30</xdr:col>
      <xdr:colOff>260156</xdr:colOff>
      <xdr:row>30</xdr:row>
      <xdr:rowOff>117663</xdr:rowOff>
    </xdr:to>
    <xdr:sp macro="" textlink="">
      <xdr:nvSpPr>
        <xdr:cNvPr id="44" name="Zeshoe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/>
      </xdr:nvSpPr>
      <xdr:spPr>
        <a:xfrm>
          <a:off x="17380324" y="494179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30</xdr:col>
      <xdr:colOff>33618</xdr:colOff>
      <xdr:row>28</xdr:row>
      <xdr:rowOff>56030</xdr:rowOff>
    </xdr:from>
    <xdr:to>
      <xdr:col>31</xdr:col>
      <xdr:colOff>469656</xdr:colOff>
      <xdr:row>32</xdr:row>
      <xdr:rowOff>184899</xdr:rowOff>
    </xdr:to>
    <xdr:sp macro="" textlink="">
      <xdr:nvSpPr>
        <xdr:cNvPr id="45" name="Zeshoe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18187147" y="539003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403411</xdr:colOff>
      <xdr:row>23</xdr:row>
      <xdr:rowOff>123264</xdr:rowOff>
    </xdr:from>
    <xdr:to>
      <xdr:col>26</xdr:col>
      <xdr:colOff>234332</xdr:colOff>
      <xdr:row>28</xdr:row>
      <xdr:rowOff>61633</xdr:rowOff>
    </xdr:to>
    <xdr:sp macro="" textlink="">
      <xdr:nvSpPr>
        <xdr:cNvPr id="46" name="Zeshoe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/>
      </xdr:nvSpPr>
      <xdr:spPr>
        <a:xfrm>
          <a:off x="14926235" y="45047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78442</xdr:colOff>
      <xdr:row>28</xdr:row>
      <xdr:rowOff>11206</xdr:rowOff>
    </xdr:from>
    <xdr:to>
      <xdr:col>12</xdr:col>
      <xdr:colOff>514480</xdr:colOff>
      <xdr:row>32</xdr:row>
      <xdr:rowOff>140075</xdr:rowOff>
    </xdr:to>
    <xdr:sp macro="" textlink="">
      <xdr:nvSpPr>
        <xdr:cNvPr id="47" name="Zeshoe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SpPr/>
      </xdr:nvSpPr>
      <xdr:spPr>
        <a:xfrm>
          <a:off x="6734736" y="534520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/>
        <a:lstStyle/>
        <a:p>
          <a:endParaRPr lang="nl-NL"/>
        </a:p>
      </xdr:txBody>
    </xdr:sp>
    <xdr:clientData/>
  </xdr:twoCellAnchor>
  <xdr:twoCellAnchor>
    <xdr:from>
      <xdr:col>12</xdr:col>
      <xdr:colOff>302558</xdr:colOff>
      <xdr:row>30</xdr:row>
      <xdr:rowOff>67235</xdr:rowOff>
    </xdr:from>
    <xdr:to>
      <xdr:col>14</xdr:col>
      <xdr:colOff>125684</xdr:colOff>
      <xdr:row>35</xdr:row>
      <xdr:rowOff>5604</xdr:rowOff>
    </xdr:to>
    <xdr:sp macro="" textlink="">
      <xdr:nvSpPr>
        <xdr:cNvPr id="48" name="Zeshoe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SpPr/>
      </xdr:nvSpPr>
      <xdr:spPr>
        <a:xfrm>
          <a:off x="7563970" y="57822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89647</xdr:colOff>
      <xdr:row>32</xdr:row>
      <xdr:rowOff>134472</xdr:rowOff>
    </xdr:from>
    <xdr:to>
      <xdr:col>12</xdr:col>
      <xdr:colOff>513408</xdr:colOff>
      <xdr:row>37</xdr:row>
      <xdr:rowOff>72841</xdr:rowOff>
    </xdr:to>
    <xdr:sp macro="" textlink="">
      <xdr:nvSpPr>
        <xdr:cNvPr id="49" name="Zeshoe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SpPr/>
      </xdr:nvSpPr>
      <xdr:spPr>
        <a:xfrm>
          <a:off x="6745941" y="6230472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De Lind</a:t>
          </a:r>
        </a:p>
      </xdr:txBody>
    </xdr:sp>
    <xdr:clientData/>
  </xdr:twoCellAnchor>
  <xdr:twoCellAnchor>
    <xdr:from>
      <xdr:col>11</xdr:col>
      <xdr:colOff>88185</xdr:colOff>
      <xdr:row>37</xdr:row>
      <xdr:rowOff>89647</xdr:rowOff>
    </xdr:from>
    <xdr:to>
      <xdr:col>12</xdr:col>
      <xdr:colOff>516428</xdr:colOff>
      <xdr:row>42</xdr:row>
      <xdr:rowOff>28016</xdr:rowOff>
    </xdr:to>
    <xdr:sp macro="" textlink="">
      <xdr:nvSpPr>
        <xdr:cNvPr id="50" name="Zeshoe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744479" y="71381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67236</xdr:colOff>
      <xdr:row>42</xdr:row>
      <xdr:rowOff>39902</xdr:rowOff>
    </xdr:from>
    <xdr:to>
      <xdr:col>12</xdr:col>
      <xdr:colOff>503274</xdr:colOff>
      <xdr:row>46</xdr:row>
      <xdr:rowOff>168771</xdr:rowOff>
    </xdr:to>
    <xdr:sp macro="" textlink="">
      <xdr:nvSpPr>
        <xdr:cNvPr id="51" name="Zeshoe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723530" y="8040902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11</xdr:col>
      <xdr:colOff>78441</xdr:colOff>
      <xdr:row>46</xdr:row>
      <xdr:rowOff>163168</xdr:rowOff>
    </xdr:from>
    <xdr:to>
      <xdr:col>12</xdr:col>
      <xdr:colOff>502202</xdr:colOff>
      <xdr:row>51</xdr:row>
      <xdr:rowOff>101537</xdr:rowOff>
    </xdr:to>
    <xdr:sp macro="" textlink="">
      <xdr:nvSpPr>
        <xdr:cNvPr id="52" name="Zeshoe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6734735" y="892616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Hulsel</a:t>
          </a:r>
        </a:p>
      </xdr:txBody>
    </xdr:sp>
    <xdr:clientData/>
  </xdr:twoCellAnchor>
  <xdr:twoCellAnchor>
    <xdr:from>
      <xdr:col>12</xdr:col>
      <xdr:colOff>302558</xdr:colOff>
      <xdr:row>35</xdr:row>
      <xdr:rowOff>22412</xdr:rowOff>
    </xdr:from>
    <xdr:to>
      <xdr:col>14</xdr:col>
      <xdr:colOff>125684</xdr:colOff>
      <xdr:row>39</xdr:row>
      <xdr:rowOff>151281</xdr:rowOff>
    </xdr:to>
    <xdr:sp macro="" textlink="">
      <xdr:nvSpPr>
        <xdr:cNvPr id="53" name="Zeshoe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7563970" y="668991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 Kiosk</a:t>
          </a:r>
        </a:p>
      </xdr:txBody>
    </xdr:sp>
    <xdr:clientData/>
  </xdr:twoCellAnchor>
  <xdr:twoCellAnchor>
    <xdr:from>
      <xdr:col>13</xdr:col>
      <xdr:colOff>493058</xdr:colOff>
      <xdr:row>42</xdr:row>
      <xdr:rowOff>44824</xdr:rowOff>
    </xdr:from>
    <xdr:to>
      <xdr:col>15</xdr:col>
      <xdr:colOff>323978</xdr:colOff>
      <xdr:row>46</xdr:row>
      <xdr:rowOff>173693</xdr:rowOff>
    </xdr:to>
    <xdr:sp macro="" textlink="">
      <xdr:nvSpPr>
        <xdr:cNvPr id="54" name="Zeshoe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SpPr/>
      </xdr:nvSpPr>
      <xdr:spPr>
        <a:xfrm>
          <a:off x="8359587" y="804582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302559</xdr:colOff>
      <xdr:row>39</xdr:row>
      <xdr:rowOff>168088</xdr:rowOff>
    </xdr:from>
    <xdr:to>
      <xdr:col>14</xdr:col>
      <xdr:colOff>121203</xdr:colOff>
      <xdr:row>44</xdr:row>
      <xdr:rowOff>106457</xdr:rowOff>
    </xdr:to>
    <xdr:sp macro="" textlink="">
      <xdr:nvSpPr>
        <xdr:cNvPr id="55" name="Zeshoe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/>
      </xdr:nvSpPr>
      <xdr:spPr>
        <a:xfrm>
          <a:off x="7563971" y="759758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504265</xdr:colOff>
      <xdr:row>32</xdr:row>
      <xdr:rowOff>145677</xdr:rowOff>
    </xdr:from>
    <xdr:to>
      <xdr:col>15</xdr:col>
      <xdr:colOff>335185</xdr:colOff>
      <xdr:row>37</xdr:row>
      <xdr:rowOff>84046</xdr:rowOff>
    </xdr:to>
    <xdr:sp macro="" textlink="">
      <xdr:nvSpPr>
        <xdr:cNvPr id="56" name="Zeshoek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>
          <a:off x="8370794" y="624167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515471</xdr:colOff>
      <xdr:row>37</xdr:row>
      <xdr:rowOff>100853</xdr:rowOff>
    </xdr:from>
    <xdr:to>
      <xdr:col>15</xdr:col>
      <xdr:colOff>338596</xdr:colOff>
      <xdr:row>42</xdr:row>
      <xdr:rowOff>39222</xdr:rowOff>
    </xdr:to>
    <xdr:sp macro="" textlink="">
      <xdr:nvSpPr>
        <xdr:cNvPr id="57" name="Zeshoe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/>
      </xdr:nvSpPr>
      <xdr:spPr>
        <a:xfrm>
          <a:off x="8382000" y="714935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30</xdr:row>
      <xdr:rowOff>89647</xdr:rowOff>
    </xdr:from>
    <xdr:to>
      <xdr:col>16</xdr:col>
      <xdr:colOff>551509</xdr:colOff>
      <xdr:row>35</xdr:row>
      <xdr:rowOff>28016</xdr:rowOff>
    </xdr:to>
    <xdr:sp macro="" textlink="">
      <xdr:nvSpPr>
        <xdr:cNvPr id="58" name="Zeshoe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SpPr/>
      </xdr:nvSpPr>
      <xdr:spPr>
        <a:xfrm>
          <a:off x="9200030" y="580464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560294</xdr:colOff>
      <xdr:row>25</xdr:row>
      <xdr:rowOff>156882</xdr:rowOff>
    </xdr:from>
    <xdr:to>
      <xdr:col>19</xdr:col>
      <xdr:colOff>383420</xdr:colOff>
      <xdr:row>30</xdr:row>
      <xdr:rowOff>95251</xdr:rowOff>
    </xdr:to>
    <xdr:sp macro="" textlink="">
      <xdr:nvSpPr>
        <xdr:cNvPr id="59" name="Zeshoe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0847294" y="4919382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336177</xdr:colOff>
      <xdr:row>28</xdr:row>
      <xdr:rowOff>22411</xdr:rowOff>
    </xdr:from>
    <xdr:to>
      <xdr:col>18</xdr:col>
      <xdr:colOff>154820</xdr:colOff>
      <xdr:row>32</xdr:row>
      <xdr:rowOff>151280</xdr:rowOff>
    </xdr:to>
    <xdr:sp macro="" textlink="">
      <xdr:nvSpPr>
        <xdr:cNvPr id="60" name="Zeshoe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10018059" y="535641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123265</xdr:colOff>
      <xdr:row>35</xdr:row>
      <xdr:rowOff>33618</xdr:rowOff>
    </xdr:from>
    <xdr:to>
      <xdr:col>16</xdr:col>
      <xdr:colOff>547027</xdr:colOff>
      <xdr:row>39</xdr:row>
      <xdr:rowOff>162487</xdr:rowOff>
    </xdr:to>
    <xdr:sp macro="" textlink="">
      <xdr:nvSpPr>
        <xdr:cNvPr id="61" name="Zeshoe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SpPr/>
      </xdr:nvSpPr>
      <xdr:spPr>
        <a:xfrm>
          <a:off x="9200030" y="6701118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381000</xdr:colOff>
      <xdr:row>25</xdr:row>
      <xdr:rowOff>179294</xdr:rowOff>
    </xdr:from>
    <xdr:to>
      <xdr:col>22</xdr:col>
      <xdr:colOff>199644</xdr:colOff>
      <xdr:row>30</xdr:row>
      <xdr:rowOff>117663</xdr:rowOff>
    </xdr:to>
    <xdr:sp macro="" textlink="">
      <xdr:nvSpPr>
        <xdr:cNvPr id="62" name="Zeshoe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SpPr/>
      </xdr:nvSpPr>
      <xdr:spPr>
        <a:xfrm>
          <a:off x="12483353" y="4941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156882</xdr:colOff>
      <xdr:row>28</xdr:row>
      <xdr:rowOff>44824</xdr:rowOff>
    </xdr:from>
    <xdr:to>
      <xdr:col>20</xdr:col>
      <xdr:colOff>577331</xdr:colOff>
      <xdr:row>32</xdr:row>
      <xdr:rowOff>173693</xdr:rowOff>
    </xdr:to>
    <xdr:sp macro="" textlink="">
      <xdr:nvSpPr>
        <xdr:cNvPr id="63" name="Zeshoe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SpPr/>
      </xdr:nvSpPr>
      <xdr:spPr>
        <a:xfrm>
          <a:off x="11654117" y="537882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593912</xdr:colOff>
      <xdr:row>23</xdr:row>
      <xdr:rowOff>100853</xdr:rowOff>
    </xdr:from>
    <xdr:to>
      <xdr:col>23</xdr:col>
      <xdr:colOff>409243</xdr:colOff>
      <xdr:row>28</xdr:row>
      <xdr:rowOff>39222</xdr:rowOff>
    </xdr:to>
    <xdr:sp macro="" textlink="">
      <xdr:nvSpPr>
        <xdr:cNvPr id="64" name="Zeshoe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SpPr/>
      </xdr:nvSpPr>
      <xdr:spPr>
        <a:xfrm>
          <a:off x="13301383" y="4482353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190500</xdr:colOff>
      <xdr:row>25</xdr:row>
      <xdr:rowOff>168088</xdr:rowOff>
    </xdr:from>
    <xdr:to>
      <xdr:col>25</xdr:col>
      <xdr:colOff>13626</xdr:colOff>
      <xdr:row>30</xdr:row>
      <xdr:rowOff>106457</xdr:rowOff>
    </xdr:to>
    <xdr:sp macro="" textlink="">
      <xdr:nvSpPr>
        <xdr:cNvPr id="66" name="Zeshoe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SpPr/>
      </xdr:nvSpPr>
      <xdr:spPr>
        <a:xfrm>
          <a:off x="14108206" y="4930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582706</xdr:colOff>
      <xdr:row>28</xdr:row>
      <xdr:rowOff>44824</xdr:rowOff>
    </xdr:from>
    <xdr:to>
      <xdr:col>23</xdr:col>
      <xdr:colOff>405833</xdr:colOff>
      <xdr:row>32</xdr:row>
      <xdr:rowOff>173693</xdr:rowOff>
    </xdr:to>
    <xdr:sp macro="" textlink="">
      <xdr:nvSpPr>
        <xdr:cNvPr id="67" name="Zeshoe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SpPr/>
      </xdr:nvSpPr>
      <xdr:spPr>
        <a:xfrm>
          <a:off x="13290177" y="5378824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26</xdr:col>
      <xdr:colOff>11206</xdr:colOff>
      <xdr:row>26</xdr:row>
      <xdr:rowOff>0</xdr:rowOff>
    </xdr:from>
    <xdr:to>
      <xdr:col>27</xdr:col>
      <xdr:colOff>439451</xdr:colOff>
      <xdr:row>30</xdr:row>
      <xdr:rowOff>128869</xdr:rowOff>
    </xdr:to>
    <xdr:sp macro="" textlink="">
      <xdr:nvSpPr>
        <xdr:cNvPr id="68" name="Zeshoe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SpPr/>
      </xdr:nvSpPr>
      <xdr:spPr>
        <a:xfrm>
          <a:off x="15744265" y="4953000"/>
          <a:ext cx="103336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403412</xdr:colOff>
      <xdr:row>28</xdr:row>
      <xdr:rowOff>78441</xdr:rowOff>
    </xdr:from>
    <xdr:to>
      <xdr:col>26</xdr:col>
      <xdr:colOff>222056</xdr:colOff>
      <xdr:row>33</xdr:row>
      <xdr:rowOff>16810</xdr:rowOff>
    </xdr:to>
    <xdr:sp macro="" textlink="">
      <xdr:nvSpPr>
        <xdr:cNvPr id="69" name="Zeshoe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SpPr/>
      </xdr:nvSpPr>
      <xdr:spPr>
        <a:xfrm>
          <a:off x="14926236" y="5412441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179293</xdr:colOff>
      <xdr:row>30</xdr:row>
      <xdr:rowOff>123264</xdr:rowOff>
    </xdr:from>
    <xdr:to>
      <xdr:col>24</xdr:col>
      <xdr:colOff>599741</xdr:colOff>
      <xdr:row>35</xdr:row>
      <xdr:rowOff>61633</xdr:rowOff>
    </xdr:to>
    <xdr:sp macro="" textlink="">
      <xdr:nvSpPr>
        <xdr:cNvPr id="70" name="Zeshoe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SpPr/>
      </xdr:nvSpPr>
      <xdr:spPr>
        <a:xfrm>
          <a:off x="14096999" y="5838264"/>
          <a:ext cx="1025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369795</xdr:colOff>
      <xdr:row>30</xdr:row>
      <xdr:rowOff>134471</xdr:rowOff>
    </xdr:from>
    <xdr:to>
      <xdr:col>22</xdr:col>
      <xdr:colOff>192921</xdr:colOff>
      <xdr:row>35</xdr:row>
      <xdr:rowOff>72840</xdr:rowOff>
    </xdr:to>
    <xdr:sp macro="" textlink="">
      <xdr:nvSpPr>
        <xdr:cNvPr id="71" name="Zeshoe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SpPr/>
      </xdr:nvSpPr>
      <xdr:spPr>
        <a:xfrm>
          <a:off x="12472148" y="5849471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369795</xdr:colOff>
      <xdr:row>35</xdr:row>
      <xdr:rowOff>89647</xdr:rowOff>
    </xdr:from>
    <xdr:to>
      <xdr:col>22</xdr:col>
      <xdr:colOff>185127</xdr:colOff>
      <xdr:row>40</xdr:row>
      <xdr:rowOff>28016</xdr:rowOff>
    </xdr:to>
    <xdr:sp macro="" textlink="">
      <xdr:nvSpPr>
        <xdr:cNvPr id="72" name="Zeshoe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SpPr/>
      </xdr:nvSpPr>
      <xdr:spPr>
        <a:xfrm>
          <a:off x="12472148" y="6757147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40</xdr:row>
      <xdr:rowOff>33617</xdr:rowOff>
    </xdr:from>
    <xdr:to>
      <xdr:col>22</xdr:col>
      <xdr:colOff>181715</xdr:colOff>
      <xdr:row>44</xdr:row>
      <xdr:rowOff>162486</xdr:rowOff>
    </xdr:to>
    <xdr:sp macro="" textlink="">
      <xdr:nvSpPr>
        <xdr:cNvPr id="73" name="Zeshoe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SpPr/>
      </xdr:nvSpPr>
      <xdr:spPr>
        <a:xfrm>
          <a:off x="12460942" y="7653617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Buurt</a:t>
          </a:r>
          <a:r>
            <a:rPr lang="nl-NL" b="1" baseline="0"/>
            <a:t> -</a:t>
          </a:r>
        </a:p>
        <a:p>
          <a:pPr algn="ctr"/>
          <a:r>
            <a:rPr lang="nl-NL" b="1" baseline="0"/>
            <a:t>schap</a:t>
          </a:r>
          <a:endParaRPr lang="nl-NL" b="1"/>
        </a:p>
      </xdr:txBody>
    </xdr:sp>
    <xdr:clientData/>
  </xdr:twoCellAnchor>
  <xdr:twoCellAnchor>
    <xdr:from>
      <xdr:col>20</xdr:col>
      <xdr:colOff>369795</xdr:colOff>
      <xdr:row>44</xdr:row>
      <xdr:rowOff>179294</xdr:rowOff>
    </xdr:from>
    <xdr:to>
      <xdr:col>22</xdr:col>
      <xdr:colOff>185127</xdr:colOff>
      <xdr:row>49</xdr:row>
      <xdr:rowOff>117663</xdr:rowOff>
    </xdr:to>
    <xdr:sp macro="" textlink="">
      <xdr:nvSpPr>
        <xdr:cNvPr id="74" name="Zeshoe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SpPr/>
      </xdr:nvSpPr>
      <xdr:spPr>
        <a:xfrm>
          <a:off x="12472148" y="8561294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358589</xdr:colOff>
      <xdr:row>49</xdr:row>
      <xdr:rowOff>123264</xdr:rowOff>
    </xdr:from>
    <xdr:to>
      <xdr:col>22</xdr:col>
      <xdr:colOff>181715</xdr:colOff>
      <xdr:row>54</xdr:row>
      <xdr:rowOff>61633</xdr:rowOff>
    </xdr:to>
    <xdr:sp macro="" textlink="">
      <xdr:nvSpPr>
        <xdr:cNvPr id="75" name="Zeshoe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SpPr/>
      </xdr:nvSpPr>
      <xdr:spPr>
        <a:xfrm>
          <a:off x="12460942" y="9457764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Kasteel</a:t>
          </a:r>
        </a:p>
      </xdr:txBody>
    </xdr:sp>
    <xdr:clientData/>
  </xdr:twoCellAnchor>
  <xdr:twoCellAnchor>
    <xdr:from>
      <xdr:col>17</xdr:col>
      <xdr:colOff>537883</xdr:colOff>
      <xdr:row>30</xdr:row>
      <xdr:rowOff>112058</xdr:rowOff>
    </xdr:from>
    <xdr:to>
      <xdr:col>19</xdr:col>
      <xdr:colOff>368804</xdr:colOff>
      <xdr:row>35</xdr:row>
      <xdr:rowOff>50427</xdr:rowOff>
    </xdr:to>
    <xdr:sp macro="" textlink="">
      <xdr:nvSpPr>
        <xdr:cNvPr id="76" name="Zeshoe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SpPr/>
      </xdr:nvSpPr>
      <xdr:spPr>
        <a:xfrm>
          <a:off x="10824883" y="5827058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537883</xdr:colOff>
      <xdr:row>35</xdr:row>
      <xdr:rowOff>56029</xdr:rowOff>
    </xdr:from>
    <xdr:to>
      <xdr:col>19</xdr:col>
      <xdr:colOff>361009</xdr:colOff>
      <xdr:row>39</xdr:row>
      <xdr:rowOff>184898</xdr:rowOff>
    </xdr:to>
    <xdr:sp macro="" textlink="">
      <xdr:nvSpPr>
        <xdr:cNvPr id="77" name="Zeshoe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SpPr/>
      </xdr:nvSpPr>
      <xdr:spPr>
        <a:xfrm>
          <a:off x="10824883" y="6723529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Cijfer /</a:t>
          </a:r>
        </a:p>
        <a:p>
          <a:pPr algn="ctr"/>
          <a:r>
            <a:rPr lang="nl-NL" b="1"/>
            <a:t>Getal</a:t>
          </a:r>
        </a:p>
      </xdr:txBody>
    </xdr:sp>
    <xdr:clientData/>
  </xdr:twoCellAnchor>
  <xdr:twoCellAnchor>
    <xdr:from>
      <xdr:col>17</xdr:col>
      <xdr:colOff>537883</xdr:colOff>
      <xdr:row>40</xdr:row>
      <xdr:rowOff>11206</xdr:rowOff>
    </xdr:from>
    <xdr:to>
      <xdr:col>19</xdr:col>
      <xdr:colOff>353215</xdr:colOff>
      <xdr:row>44</xdr:row>
      <xdr:rowOff>140075</xdr:rowOff>
    </xdr:to>
    <xdr:sp macro="" textlink="">
      <xdr:nvSpPr>
        <xdr:cNvPr id="78" name="Zeshoe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SpPr/>
      </xdr:nvSpPr>
      <xdr:spPr>
        <a:xfrm>
          <a:off x="10824883" y="763120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44</xdr:row>
      <xdr:rowOff>145676</xdr:rowOff>
    </xdr:from>
    <xdr:to>
      <xdr:col>19</xdr:col>
      <xdr:colOff>349803</xdr:colOff>
      <xdr:row>49</xdr:row>
      <xdr:rowOff>84045</xdr:rowOff>
    </xdr:to>
    <xdr:sp macro="" textlink="">
      <xdr:nvSpPr>
        <xdr:cNvPr id="79" name="Zeshoe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SpPr/>
      </xdr:nvSpPr>
      <xdr:spPr>
        <a:xfrm>
          <a:off x="10813677" y="8527676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17</xdr:col>
      <xdr:colOff>537883</xdr:colOff>
      <xdr:row>49</xdr:row>
      <xdr:rowOff>100853</xdr:rowOff>
    </xdr:from>
    <xdr:to>
      <xdr:col>19</xdr:col>
      <xdr:colOff>353215</xdr:colOff>
      <xdr:row>54</xdr:row>
      <xdr:rowOff>39222</xdr:rowOff>
    </xdr:to>
    <xdr:sp macro="" textlink="">
      <xdr:nvSpPr>
        <xdr:cNvPr id="80" name="Zeshoe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SpPr/>
      </xdr:nvSpPr>
      <xdr:spPr>
        <a:xfrm>
          <a:off x="10824883" y="9435353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526677</xdr:colOff>
      <xdr:row>54</xdr:row>
      <xdr:rowOff>44823</xdr:rowOff>
    </xdr:from>
    <xdr:to>
      <xdr:col>19</xdr:col>
      <xdr:colOff>349803</xdr:colOff>
      <xdr:row>58</xdr:row>
      <xdr:rowOff>173692</xdr:rowOff>
    </xdr:to>
    <xdr:sp macro="" textlink="">
      <xdr:nvSpPr>
        <xdr:cNvPr id="81" name="Zeshoe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SpPr/>
      </xdr:nvSpPr>
      <xdr:spPr>
        <a:xfrm>
          <a:off x="10813677" y="10331823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39</xdr:row>
      <xdr:rowOff>168088</xdr:rowOff>
    </xdr:from>
    <xdr:to>
      <xdr:col>16</xdr:col>
      <xdr:colOff>540303</xdr:colOff>
      <xdr:row>44</xdr:row>
      <xdr:rowOff>106457</xdr:rowOff>
    </xdr:to>
    <xdr:sp macro="" textlink="">
      <xdr:nvSpPr>
        <xdr:cNvPr id="82" name="Zeshoe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SpPr/>
      </xdr:nvSpPr>
      <xdr:spPr>
        <a:xfrm>
          <a:off x="9188824" y="7597588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112059</xdr:colOff>
      <xdr:row>44</xdr:row>
      <xdr:rowOff>123265</xdr:rowOff>
    </xdr:from>
    <xdr:to>
      <xdr:col>16</xdr:col>
      <xdr:colOff>532509</xdr:colOff>
      <xdr:row>49</xdr:row>
      <xdr:rowOff>61634</xdr:rowOff>
    </xdr:to>
    <xdr:sp macro="" textlink="">
      <xdr:nvSpPr>
        <xdr:cNvPr id="83" name="Zeshoe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SpPr/>
      </xdr:nvSpPr>
      <xdr:spPr>
        <a:xfrm>
          <a:off x="9188824" y="8505265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15</xdr:col>
      <xdr:colOff>100853</xdr:colOff>
      <xdr:row>49</xdr:row>
      <xdr:rowOff>67235</xdr:rowOff>
    </xdr:from>
    <xdr:to>
      <xdr:col>16</xdr:col>
      <xdr:colOff>529097</xdr:colOff>
      <xdr:row>54</xdr:row>
      <xdr:rowOff>5604</xdr:rowOff>
    </xdr:to>
    <xdr:sp macro="" textlink="">
      <xdr:nvSpPr>
        <xdr:cNvPr id="84" name="Zeshoe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SpPr/>
      </xdr:nvSpPr>
      <xdr:spPr>
        <a:xfrm>
          <a:off x="9177618" y="9401735"/>
          <a:ext cx="1033361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Begint met een W</a:t>
          </a:r>
        </a:p>
      </xdr:txBody>
    </xdr:sp>
    <xdr:clientData/>
  </xdr:twoCellAnchor>
  <xdr:twoCellAnchor>
    <xdr:from>
      <xdr:col>15</xdr:col>
      <xdr:colOff>98451</xdr:colOff>
      <xdr:row>54</xdr:row>
      <xdr:rowOff>8805</xdr:rowOff>
    </xdr:from>
    <xdr:to>
      <xdr:col>16</xdr:col>
      <xdr:colOff>518901</xdr:colOff>
      <xdr:row>58</xdr:row>
      <xdr:rowOff>137674</xdr:rowOff>
    </xdr:to>
    <xdr:sp macro="" textlink="">
      <xdr:nvSpPr>
        <xdr:cNvPr id="85" name="Zeshoe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SpPr/>
      </xdr:nvSpPr>
      <xdr:spPr>
        <a:xfrm>
          <a:off x="9283272" y="10295805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16</xdr:col>
      <xdr:colOff>336177</xdr:colOff>
      <xdr:row>32</xdr:row>
      <xdr:rowOff>145676</xdr:rowOff>
    </xdr:from>
    <xdr:to>
      <xdr:col>18</xdr:col>
      <xdr:colOff>151508</xdr:colOff>
      <xdr:row>37</xdr:row>
      <xdr:rowOff>84045</xdr:rowOff>
    </xdr:to>
    <xdr:sp macro="" textlink="">
      <xdr:nvSpPr>
        <xdr:cNvPr id="86" name="Zeshoe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SpPr/>
      </xdr:nvSpPr>
      <xdr:spPr>
        <a:xfrm>
          <a:off x="10018059" y="6241676"/>
          <a:ext cx="10255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336176</xdr:colOff>
      <xdr:row>37</xdr:row>
      <xdr:rowOff>100853</xdr:rowOff>
    </xdr:from>
    <xdr:to>
      <xdr:col>18</xdr:col>
      <xdr:colOff>167096</xdr:colOff>
      <xdr:row>42</xdr:row>
      <xdr:rowOff>39222</xdr:rowOff>
    </xdr:to>
    <xdr:sp macro="" textlink="">
      <xdr:nvSpPr>
        <xdr:cNvPr id="87" name="Zeshoe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SpPr/>
      </xdr:nvSpPr>
      <xdr:spPr>
        <a:xfrm>
          <a:off x="10018058" y="714935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313765</xdr:colOff>
      <xdr:row>42</xdr:row>
      <xdr:rowOff>56029</xdr:rowOff>
    </xdr:from>
    <xdr:to>
      <xdr:col>18</xdr:col>
      <xdr:colOff>132408</xdr:colOff>
      <xdr:row>46</xdr:row>
      <xdr:rowOff>184898</xdr:rowOff>
    </xdr:to>
    <xdr:sp macro="" textlink="">
      <xdr:nvSpPr>
        <xdr:cNvPr id="88" name="Zeshoe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SpPr/>
      </xdr:nvSpPr>
      <xdr:spPr>
        <a:xfrm>
          <a:off x="9995647" y="8057029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156883</xdr:colOff>
      <xdr:row>33</xdr:row>
      <xdr:rowOff>0</xdr:rowOff>
    </xdr:from>
    <xdr:to>
      <xdr:col>20</xdr:col>
      <xdr:colOff>580644</xdr:colOff>
      <xdr:row>37</xdr:row>
      <xdr:rowOff>128869</xdr:rowOff>
    </xdr:to>
    <xdr:sp macro="" textlink="">
      <xdr:nvSpPr>
        <xdr:cNvPr id="89" name="Zeshoe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SpPr/>
      </xdr:nvSpPr>
      <xdr:spPr>
        <a:xfrm>
          <a:off x="11654118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37</xdr:row>
      <xdr:rowOff>134470</xdr:rowOff>
    </xdr:from>
    <xdr:to>
      <xdr:col>20</xdr:col>
      <xdr:colOff>581715</xdr:colOff>
      <xdr:row>42</xdr:row>
      <xdr:rowOff>72839</xdr:rowOff>
    </xdr:to>
    <xdr:sp macro="" textlink="">
      <xdr:nvSpPr>
        <xdr:cNvPr id="90" name="Zeshoe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SpPr/>
      </xdr:nvSpPr>
      <xdr:spPr>
        <a:xfrm>
          <a:off x="11642912" y="71829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19</xdr:col>
      <xdr:colOff>156883</xdr:colOff>
      <xdr:row>42</xdr:row>
      <xdr:rowOff>89647</xdr:rowOff>
    </xdr:from>
    <xdr:to>
      <xdr:col>20</xdr:col>
      <xdr:colOff>580644</xdr:colOff>
      <xdr:row>47</xdr:row>
      <xdr:rowOff>28016</xdr:rowOff>
    </xdr:to>
    <xdr:sp macro="" textlink="">
      <xdr:nvSpPr>
        <xdr:cNvPr id="91" name="Zeshoe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SpPr/>
      </xdr:nvSpPr>
      <xdr:spPr>
        <a:xfrm>
          <a:off x="11654118" y="8090647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145677</xdr:colOff>
      <xdr:row>47</xdr:row>
      <xdr:rowOff>33617</xdr:rowOff>
    </xdr:from>
    <xdr:to>
      <xdr:col>20</xdr:col>
      <xdr:colOff>581715</xdr:colOff>
      <xdr:row>51</xdr:row>
      <xdr:rowOff>162486</xdr:rowOff>
    </xdr:to>
    <xdr:sp macro="" textlink="">
      <xdr:nvSpPr>
        <xdr:cNvPr id="92" name="Zeshoe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SpPr/>
      </xdr:nvSpPr>
      <xdr:spPr>
        <a:xfrm>
          <a:off x="11642912" y="8987117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134471</xdr:colOff>
      <xdr:row>51</xdr:row>
      <xdr:rowOff>179294</xdr:rowOff>
    </xdr:from>
    <xdr:to>
      <xdr:col>20</xdr:col>
      <xdr:colOff>558232</xdr:colOff>
      <xdr:row>56</xdr:row>
      <xdr:rowOff>117663</xdr:rowOff>
    </xdr:to>
    <xdr:sp macro="" textlink="">
      <xdr:nvSpPr>
        <xdr:cNvPr id="93" name="Zeshoe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SpPr/>
      </xdr:nvSpPr>
      <xdr:spPr>
        <a:xfrm>
          <a:off x="11631706" y="9894794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123265</xdr:colOff>
      <xdr:row>56</xdr:row>
      <xdr:rowOff>123264</xdr:rowOff>
    </xdr:from>
    <xdr:to>
      <xdr:col>20</xdr:col>
      <xdr:colOff>559303</xdr:colOff>
      <xdr:row>61</xdr:row>
      <xdr:rowOff>61633</xdr:rowOff>
    </xdr:to>
    <xdr:sp macro="" textlink="">
      <xdr:nvSpPr>
        <xdr:cNvPr id="94" name="Zeshoe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SpPr/>
      </xdr:nvSpPr>
      <xdr:spPr>
        <a:xfrm>
          <a:off x="11620500" y="10791264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582706</xdr:colOff>
      <xdr:row>33</xdr:row>
      <xdr:rowOff>0</xdr:rowOff>
    </xdr:from>
    <xdr:to>
      <xdr:col>23</xdr:col>
      <xdr:colOff>401350</xdr:colOff>
      <xdr:row>37</xdr:row>
      <xdr:rowOff>128869</xdr:rowOff>
    </xdr:to>
    <xdr:sp macro="" textlink="">
      <xdr:nvSpPr>
        <xdr:cNvPr id="95" name="Zeshoe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SpPr/>
      </xdr:nvSpPr>
      <xdr:spPr>
        <a:xfrm>
          <a:off x="13290177" y="62865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37</xdr:row>
      <xdr:rowOff>145676</xdr:rowOff>
    </xdr:from>
    <xdr:to>
      <xdr:col>23</xdr:col>
      <xdr:colOff>391215</xdr:colOff>
      <xdr:row>42</xdr:row>
      <xdr:rowOff>84045</xdr:rowOff>
    </xdr:to>
    <xdr:sp macro="" textlink="">
      <xdr:nvSpPr>
        <xdr:cNvPr id="96" name="Zeshoe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SpPr/>
      </xdr:nvSpPr>
      <xdr:spPr>
        <a:xfrm>
          <a:off x="13267765" y="7194176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571500</xdr:colOff>
      <xdr:row>42</xdr:row>
      <xdr:rowOff>100853</xdr:rowOff>
    </xdr:from>
    <xdr:to>
      <xdr:col>23</xdr:col>
      <xdr:colOff>390144</xdr:colOff>
      <xdr:row>47</xdr:row>
      <xdr:rowOff>39222</xdr:rowOff>
    </xdr:to>
    <xdr:sp macro="" textlink="">
      <xdr:nvSpPr>
        <xdr:cNvPr id="97" name="Zeshoe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SpPr/>
      </xdr:nvSpPr>
      <xdr:spPr>
        <a:xfrm>
          <a:off x="13278971" y="8101853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560294</xdr:colOff>
      <xdr:row>47</xdr:row>
      <xdr:rowOff>44823</xdr:rowOff>
    </xdr:from>
    <xdr:to>
      <xdr:col>23</xdr:col>
      <xdr:colOff>391215</xdr:colOff>
      <xdr:row>51</xdr:row>
      <xdr:rowOff>173692</xdr:rowOff>
    </xdr:to>
    <xdr:sp macro="" textlink="">
      <xdr:nvSpPr>
        <xdr:cNvPr id="98" name="Zeshoe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SpPr/>
      </xdr:nvSpPr>
      <xdr:spPr>
        <a:xfrm>
          <a:off x="13267765" y="8998323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549088</xdr:colOff>
      <xdr:row>52</xdr:row>
      <xdr:rowOff>0</xdr:rowOff>
    </xdr:from>
    <xdr:to>
      <xdr:col>23</xdr:col>
      <xdr:colOff>367732</xdr:colOff>
      <xdr:row>56</xdr:row>
      <xdr:rowOff>128869</xdr:rowOff>
    </xdr:to>
    <xdr:sp macro="" textlink="">
      <xdr:nvSpPr>
        <xdr:cNvPr id="99" name="Zeshoe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SpPr/>
      </xdr:nvSpPr>
      <xdr:spPr>
        <a:xfrm>
          <a:off x="13256559" y="9906000"/>
          <a:ext cx="102887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537882</xdr:colOff>
      <xdr:row>56</xdr:row>
      <xdr:rowOff>134470</xdr:rowOff>
    </xdr:from>
    <xdr:to>
      <xdr:col>23</xdr:col>
      <xdr:colOff>368803</xdr:colOff>
      <xdr:row>61</xdr:row>
      <xdr:rowOff>72839</xdr:rowOff>
    </xdr:to>
    <xdr:sp macro="" textlink="">
      <xdr:nvSpPr>
        <xdr:cNvPr id="100" name="Zeshoe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SpPr/>
      </xdr:nvSpPr>
      <xdr:spPr>
        <a:xfrm>
          <a:off x="13245353" y="10802470"/>
          <a:ext cx="104115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285751</xdr:colOff>
      <xdr:row>44</xdr:row>
      <xdr:rowOff>122464</xdr:rowOff>
    </xdr:from>
    <xdr:to>
      <xdr:col>14</xdr:col>
      <xdr:colOff>101674</xdr:colOff>
      <xdr:row>49</xdr:row>
      <xdr:rowOff>60833</xdr:rowOff>
    </xdr:to>
    <xdr:sp macro="" textlink="">
      <xdr:nvSpPr>
        <xdr:cNvPr id="101" name="Zeshoe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SpPr/>
      </xdr:nvSpPr>
      <xdr:spPr>
        <a:xfrm>
          <a:off x="7633608" y="850446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12</xdr:col>
      <xdr:colOff>272143</xdr:colOff>
      <xdr:row>49</xdr:row>
      <xdr:rowOff>40821</xdr:rowOff>
    </xdr:from>
    <xdr:to>
      <xdr:col>14</xdr:col>
      <xdr:colOff>88064</xdr:colOff>
      <xdr:row>53</xdr:row>
      <xdr:rowOff>169690</xdr:rowOff>
    </xdr:to>
    <xdr:sp macro="" textlink="">
      <xdr:nvSpPr>
        <xdr:cNvPr id="102" name="Zeshoe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SpPr/>
      </xdr:nvSpPr>
      <xdr:spPr>
        <a:xfrm>
          <a:off x="7620000" y="9375321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503465</xdr:colOff>
      <xdr:row>47</xdr:row>
      <xdr:rowOff>0</xdr:rowOff>
    </xdr:from>
    <xdr:to>
      <xdr:col>15</xdr:col>
      <xdr:colOff>322110</xdr:colOff>
      <xdr:row>51</xdr:row>
      <xdr:rowOff>128869</xdr:rowOff>
    </xdr:to>
    <xdr:sp macro="" textlink="">
      <xdr:nvSpPr>
        <xdr:cNvPr id="103" name="Zeshoe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SpPr/>
      </xdr:nvSpPr>
      <xdr:spPr>
        <a:xfrm>
          <a:off x="8463644" y="895350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54429</xdr:colOff>
      <xdr:row>51</xdr:row>
      <xdr:rowOff>108857</xdr:rowOff>
    </xdr:from>
    <xdr:to>
      <xdr:col>12</xdr:col>
      <xdr:colOff>490467</xdr:colOff>
      <xdr:row>56</xdr:row>
      <xdr:rowOff>47226</xdr:rowOff>
    </xdr:to>
    <xdr:sp macro="" textlink="">
      <xdr:nvSpPr>
        <xdr:cNvPr id="104" name="Zeshoe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SpPr/>
      </xdr:nvSpPr>
      <xdr:spPr>
        <a:xfrm>
          <a:off x="6789965" y="9824357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480251</xdr:colOff>
      <xdr:row>51</xdr:row>
      <xdr:rowOff>127386</xdr:rowOff>
    </xdr:from>
    <xdr:to>
      <xdr:col>15</xdr:col>
      <xdr:colOff>311171</xdr:colOff>
      <xdr:row>56</xdr:row>
      <xdr:rowOff>65755</xdr:rowOff>
    </xdr:to>
    <xdr:sp macro="" textlink="">
      <xdr:nvSpPr>
        <xdr:cNvPr id="105" name="Zeshoe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SpPr/>
      </xdr:nvSpPr>
      <xdr:spPr>
        <a:xfrm>
          <a:off x="8440430" y="984288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272143</xdr:colOff>
      <xdr:row>53</xdr:row>
      <xdr:rowOff>163285</xdr:rowOff>
    </xdr:from>
    <xdr:to>
      <xdr:col>14</xdr:col>
      <xdr:colOff>88066</xdr:colOff>
      <xdr:row>58</xdr:row>
      <xdr:rowOff>101654</xdr:rowOff>
    </xdr:to>
    <xdr:sp macro="" textlink="">
      <xdr:nvSpPr>
        <xdr:cNvPr id="106" name="Zeshoe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SpPr/>
      </xdr:nvSpPr>
      <xdr:spPr>
        <a:xfrm>
          <a:off x="7620000" y="10259785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11</xdr:col>
      <xdr:colOff>68035</xdr:colOff>
      <xdr:row>56</xdr:row>
      <xdr:rowOff>54428</xdr:rowOff>
    </xdr:from>
    <xdr:to>
      <xdr:col>12</xdr:col>
      <xdr:colOff>496278</xdr:colOff>
      <xdr:row>60</xdr:row>
      <xdr:rowOff>183297</xdr:rowOff>
    </xdr:to>
    <xdr:sp macro="" textlink="">
      <xdr:nvSpPr>
        <xdr:cNvPr id="107" name="Zeshoek 106">
          <a:extLst>
            <a:ext uri="{FF2B5EF4-FFF2-40B4-BE49-F238E27FC236}">
              <a16:creationId xmlns:a16="http://schemas.microsoft.com/office/drawing/2014/main" id="{00000000-0008-0000-0100-00006B000000}"/>
            </a:ext>
          </a:extLst>
        </xdr:cNvPr>
        <xdr:cNvSpPr/>
      </xdr:nvSpPr>
      <xdr:spPr>
        <a:xfrm>
          <a:off x="6803571" y="10722428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12</xdr:col>
      <xdr:colOff>244928</xdr:colOff>
      <xdr:row>58</xdr:row>
      <xdr:rowOff>95250</xdr:rowOff>
    </xdr:from>
    <xdr:to>
      <xdr:col>14</xdr:col>
      <xdr:colOff>75847</xdr:colOff>
      <xdr:row>63</xdr:row>
      <xdr:rowOff>33619</xdr:rowOff>
    </xdr:to>
    <xdr:sp macro="" textlink="">
      <xdr:nvSpPr>
        <xdr:cNvPr id="108" name="Zeshoek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SpPr/>
      </xdr:nvSpPr>
      <xdr:spPr>
        <a:xfrm>
          <a:off x="7592785" y="1114425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476250</xdr:colOff>
      <xdr:row>56</xdr:row>
      <xdr:rowOff>81643</xdr:rowOff>
    </xdr:from>
    <xdr:to>
      <xdr:col>15</xdr:col>
      <xdr:colOff>294895</xdr:colOff>
      <xdr:row>61</xdr:row>
      <xdr:rowOff>20012</xdr:rowOff>
    </xdr:to>
    <xdr:sp macro="" textlink="">
      <xdr:nvSpPr>
        <xdr:cNvPr id="110" name="Zeshoek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SpPr/>
      </xdr:nvSpPr>
      <xdr:spPr>
        <a:xfrm>
          <a:off x="8436429" y="1074964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307359</xdr:colOff>
      <xdr:row>47</xdr:row>
      <xdr:rowOff>17610</xdr:rowOff>
    </xdr:from>
    <xdr:to>
      <xdr:col>18</xdr:col>
      <xdr:colOff>138278</xdr:colOff>
      <xdr:row>51</xdr:row>
      <xdr:rowOff>146479</xdr:rowOff>
    </xdr:to>
    <xdr:sp macro="" textlink="">
      <xdr:nvSpPr>
        <xdr:cNvPr id="111" name="Zeshoek 110">
          <a:extLst>
            <a:ext uri="{FF2B5EF4-FFF2-40B4-BE49-F238E27FC236}">
              <a16:creationId xmlns:a16="http://schemas.microsoft.com/office/drawing/2014/main" id="{00000000-0008-0000-0100-00006F000000}"/>
            </a:ext>
          </a:extLst>
        </xdr:cNvPr>
        <xdr:cNvSpPr/>
      </xdr:nvSpPr>
      <xdr:spPr>
        <a:xfrm>
          <a:off x="10104502" y="8971110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317766</xdr:colOff>
      <xdr:row>51</xdr:row>
      <xdr:rowOff>163286</xdr:rowOff>
    </xdr:from>
    <xdr:to>
      <xdr:col>18</xdr:col>
      <xdr:colOff>136410</xdr:colOff>
      <xdr:row>56</xdr:row>
      <xdr:rowOff>101655</xdr:rowOff>
    </xdr:to>
    <xdr:sp macro="" textlink="">
      <xdr:nvSpPr>
        <xdr:cNvPr id="112" name="Zeshoe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SpPr/>
      </xdr:nvSpPr>
      <xdr:spPr>
        <a:xfrm>
          <a:off x="10114909" y="987878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16</xdr:col>
      <xdr:colOff>294552</xdr:colOff>
      <xdr:row>56</xdr:row>
      <xdr:rowOff>100172</xdr:rowOff>
    </xdr:from>
    <xdr:to>
      <xdr:col>18</xdr:col>
      <xdr:colOff>125471</xdr:colOff>
      <xdr:row>61</xdr:row>
      <xdr:rowOff>38541</xdr:rowOff>
    </xdr:to>
    <xdr:sp macro="" textlink="">
      <xdr:nvSpPr>
        <xdr:cNvPr id="113" name="Zeshoe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SpPr/>
      </xdr:nvSpPr>
      <xdr:spPr>
        <a:xfrm>
          <a:off x="10091695" y="10768172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16</xdr:col>
      <xdr:colOff>290551</xdr:colOff>
      <xdr:row>61</xdr:row>
      <xdr:rowOff>54429</xdr:rowOff>
    </xdr:from>
    <xdr:to>
      <xdr:col>18</xdr:col>
      <xdr:colOff>109195</xdr:colOff>
      <xdr:row>65</xdr:row>
      <xdr:rowOff>183298</xdr:rowOff>
    </xdr:to>
    <xdr:sp macro="" textlink="">
      <xdr:nvSpPr>
        <xdr:cNvPr id="114" name="Zeshoe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SpPr/>
      </xdr:nvSpPr>
      <xdr:spPr>
        <a:xfrm>
          <a:off x="10087694" y="11674929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15</xdr:col>
      <xdr:colOff>95251</xdr:colOff>
      <xdr:row>58</xdr:row>
      <xdr:rowOff>149679</xdr:rowOff>
    </xdr:from>
    <xdr:to>
      <xdr:col>16</xdr:col>
      <xdr:colOff>523495</xdr:colOff>
      <xdr:row>63</xdr:row>
      <xdr:rowOff>88048</xdr:rowOff>
    </xdr:to>
    <xdr:sp macro="" textlink="">
      <xdr:nvSpPr>
        <xdr:cNvPr id="115" name="Zeshoe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SpPr/>
      </xdr:nvSpPr>
      <xdr:spPr>
        <a:xfrm>
          <a:off x="9280072" y="1119867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Tilburg</a:t>
          </a:r>
        </a:p>
      </xdr:txBody>
    </xdr:sp>
    <xdr:clientData/>
  </xdr:twoCellAnchor>
  <xdr:twoCellAnchor>
    <xdr:from>
      <xdr:col>15</xdr:col>
      <xdr:colOff>68036</xdr:colOff>
      <xdr:row>63</xdr:row>
      <xdr:rowOff>81644</xdr:rowOff>
    </xdr:from>
    <xdr:to>
      <xdr:col>16</xdr:col>
      <xdr:colOff>511276</xdr:colOff>
      <xdr:row>68</xdr:row>
      <xdr:rowOff>20013</xdr:rowOff>
    </xdr:to>
    <xdr:sp macro="" textlink="">
      <xdr:nvSpPr>
        <xdr:cNvPr id="116" name="Zeshoe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SpPr/>
      </xdr:nvSpPr>
      <xdr:spPr>
        <a:xfrm>
          <a:off x="9252857" y="1208314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13</xdr:col>
      <xdr:colOff>476249</xdr:colOff>
      <xdr:row>61</xdr:row>
      <xdr:rowOff>13607</xdr:rowOff>
    </xdr:from>
    <xdr:to>
      <xdr:col>15</xdr:col>
      <xdr:colOff>292171</xdr:colOff>
      <xdr:row>65</xdr:row>
      <xdr:rowOff>142476</xdr:rowOff>
    </xdr:to>
    <xdr:sp macro="" textlink="">
      <xdr:nvSpPr>
        <xdr:cNvPr id="117" name="Zeshoek 116">
          <a:extLst>
            <a:ext uri="{FF2B5EF4-FFF2-40B4-BE49-F238E27FC236}">
              <a16:creationId xmlns:a16="http://schemas.microsoft.com/office/drawing/2014/main" id="{00000000-0008-0000-0100-000075000000}"/>
            </a:ext>
          </a:extLst>
        </xdr:cNvPr>
        <xdr:cNvSpPr/>
      </xdr:nvSpPr>
      <xdr:spPr>
        <a:xfrm>
          <a:off x="8436428" y="11634107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Bartels</a:t>
          </a:r>
        </a:p>
      </xdr:txBody>
    </xdr:sp>
    <xdr:clientData/>
  </xdr:twoCellAnchor>
  <xdr:twoCellAnchor>
    <xdr:from>
      <xdr:col>17</xdr:col>
      <xdr:colOff>501064</xdr:colOff>
      <xdr:row>58</xdr:row>
      <xdr:rowOff>176893</xdr:rowOff>
    </xdr:from>
    <xdr:to>
      <xdr:col>19</xdr:col>
      <xdr:colOff>316396</xdr:colOff>
      <xdr:row>63</xdr:row>
      <xdr:rowOff>115262</xdr:rowOff>
    </xdr:to>
    <xdr:sp macro="" textlink="">
      <xdr:nvSpPr>
        <xdr:cNvPr id="118" name="Zeshoek 117">
          <a:extLst>
            <a:ext uri="{FF2B5EF4-FFF2-40B4-BE49-F238E27FC236}">
              <a16:creationId xmlns:a16="http://schemas.microsoft.com/office/drawing/2014/main" id="{00000000-0008-0000-0100-000076000000}"/>
            </a:ext>
          </a:extLst>
        </xdr:cNvPr>
        <xdr:cNvSpPr/>
      </xdr:nvSpPr>
      <xdr:spPr>
        <a:xfrm>
          <a:off x="10910528" y="11225893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489858</xdr:colOff>
      <xdr:row>63</xdr:row>
      <xdr:rowOff>120863</xdr:rowOff>
    </xdr:from>
    <xdr:to>
      <xdr:col>19</xdr:col>
      <xdr:colOff>312984</xdr:colOff>
      <xdr:row>68</xdr:row>
      <xdr:rowOff>59232</xdr:rowOff>
    </xdr:to>
    <xdr:sp macro="" textlink="">
      <xdr:nvSpPr>
        <xdr:cNvPr id="119" name="Zeshoek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SpPr/>
      </xdr:nvSpPr>
      <xdr:spPr>
        <a:xfrm>
          <a:off x="10899322" y="12122363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Water</a:t>
          </a:r>
        </a:p>
      </xdr:txBody>
    </xdr:sp>
    <xdr:clientData/>
  </xdr:twoCellAnchor>
  <xdr:twoCellAnchor>
    <xdr:from>
      <xdr:col>16</xdr:col>
      <xdr:colOff>285750</xdr:colOff>
      <xdr:row>65</xdr:row>
      <xdr:rowOff>163286</xdr:rowOff>
    </xdr:from>
    <xdr:to>
      <xdr:col>18</xdr:col>
      <xdr:colOff>101082</xdr:colOff>
      <xdr:row>70</xdr:row>
      <xdr:rowOff>101655</xdr:rowOff>
    </xdr:to>
    <xdr:sp macro="" textlink="">
      <xdr:nvSpPr>
        <xdr:cNvPr id="120" name="Zeshoek 119">
          <a:extLst>
            <a:ext uri="{FF2B5EF4-FFF2-40B4-BE49-F238E27FC236}">
              <a16:creationId xmlns:a16="http://schemas.microsoft.com/office/drawing/2014/main" id="{00000000-0008-0000-0100-000078000000}"/>
            </a:ext>
          </a:extLst>
        </xdr:cNvPr>
        <xdr:cNvSpPr/>
      </xdr:nvSpPr>
      <xdr:spPr>
        <a:xfrm>
          <a:off x="10082893" y="12545786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17</xdr:col>
      <xdr:colOff>489857</xdr:colOff>
      <xdr:row>68</xdr:row>
      <xdr:rowOff>68036</xdr:rowOff>
    </xdr:from>
    <xdr:to>
      <xdr:col>19</xdr:col>
      <xdr:colOff>308501</xdr:colOff>
      <xdr:row>73</xdr:row>
      <xdr:rowOff>6405</xdr:rowOff>
    </xdr:to>
    <xdr:sp macro="" textlink="">
      <xdr:nvSpPr>
        <xdr:cNvPr id="121" name="Zeshoek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SpPr/>
      </xdr:nvSpPr>
      <xdr:spPr>
        <a:xfrm>
          <a:off x="10899321" y="13022036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Bergsche</a:t>
          </a:r>
        </a:p>
        <a:p>
          <a:pPr algn="ctr"/>
          <a:r>
            <a:rPr lang="nl-NL" b="1"/>
            <a:t>Maas</a:t>
          </a:r>
        </a:p>
      </xdr:txBody>
    </xdr:sp>
    <xdr:clientData/>
  </xdr:twoCellAnchor>
  <xdr:twoCellAnchor>
    <xdr:from>
      <xdr:col>19</xdr:col>
      <xdr:colOff>106456</xdr:colOff>
      <xdr:row>61</xdr:row>
      <xdr:rowOff>54429</xdr:rowOff>
    </xdr:from>
    <xdr:to>
      <xdr:col>20</xdr:col>
      <xdr:colOff>530217</xdr:colOff>
      <xdr:row>65</xdr:row>
      <xdr:rowOff>183298</xdr:rowOff>
    </xdr:to>
    <xdr:sp macro="" textlink="">
      <xdr:nvSpPr>
        <xdr:cNvPr id="122" name="Zeshoek 121">
          <a:extLst>
            <a:ext uri="{FF2B5EF4-FFF2-40B4-BE49-F238E27FC236}">
              <a16:creationId xmlns:a16="http://schemas.microsoft.com/office/drawing/2014/main" id="{00000000-0008-0000-0100-00007A000000}"/>
            </a:ext>
          </a:extLst>
        </xdr:cNvPr>
        <xdr:cNvSpPr/>
      </xdr:nvSpPr>
      <xdr:spPr>
        <a:xfrm>
          <a:off x="11740563" y="11674929"/>
          <a:ext cx="103608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19</xdr:col>
      <xdr:colOff>95250</xdr:colOff>
      <xdr:row>65</xdr:row>
      <xdr:rowOff>188899</xdr:rowOff>
    </xdr:from>
    <xdr:to>
      <xdr:col>20</xdr:col>
      <xdr:colOff>531288</xdr:colOff>
      <xdr:row>70</xdr:row>
      <xdr:rowOff>127268</xdr:rowOff>
    </xdr:to>
    <xdr:sp macro="" textlink="">
      <xdr:nvSpPr>
        <xdr:cNvPr id="123" name="Zeshoek 122">
          <a:extLst>
            <a:ext uri="{FF2B5EF4-FFF2-40B4-BE49-F238E27FC236}">
              <a16:creationId xmlns:a16="http://schemas.microsoft.com/office/drawing/2014/main" id="{00000000-0008-0000-0100-00007B000000}"/>
            </a:ext>
          </a:extLst>
        </xdr:cNvPr>
        <xdr:cNvSpPr/>
      </xdr:nvSpPr>
      <xdr:spPr>
        <a:xfrm>
          <a:off x="11729357" y="12571399"/>
          <a:ext cx="1048360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324170</xdr:colOff>
      <xdr:row>54</xdr:row>
      <xdr:rowOff>68035</xdr:rowOff>
    </xdr:from>
    <xdr:to>
      <xdr:col>22</xdr:col>
      <xdr:colOff>139502</xdr:colOff>
      <xdr:row>59</xdr:row>
      <xdr:rowOff>6404</xdr:rowOff>
    </xdr:to>
    <xdr:sp macro="" textlink="">
      <xdr:nvSpPr>
        <xdr:cNvPr id="124" name="Zeshoek 123">
          <a:extLst>
            <a:ext uri="{FF2B5EF4-FFF2-40B4-BE49-F238E27FC236}">
              <a16:creationId xmlns:a16="http://schemas.microsoft.com/office/drawing/2014/main" id="{00000000-0008-0000-0100-00007C000000}"/>
            </a:ext>
          </a:extLst>
        </xdr:cNvPr>
        <xdr:cNvSpPr/>
      </xdr:nvSpPr>
      <xdr:spPr>
        <a:xfrm>
          <a:off x="12570599" y="10355035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20</xdr:col>
      <xdr:colOff>312964</xdr:colOff>
      <xdr:row>59</xdr:row>
      <xdr:rowOff>12005</xdr:rowOff>
    </xdr:from>
    <xdr:to>
      <xdr:col>22</xdr:col>
      <xdr:colOff>136090</xdr:colOff>
      <xdr:row>63</xdr:row>
      <xdr:rowOff>140874</xdr:rowOff>
    </xdr:to>
    <xdr:sp macro="" textlink="">
      <xdr:nvSpPr>
        <xdr:cNvPr id="125" name="Zeshoek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SpPr/>
      </xdr:nvSpPr>
      <xdr:spPr>
        <a:xfrm>
          <a:off x="12559393" y="11251505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324170</xdr:colOff>
      <xdr:row>63</xdr:row>
      <xdr:rowOff>157682</xdr:rowOff>
    </xdr:from>
    <xdr:to>
      <xdr:col>22</xdr:col>
      <xdr:colOff>139502</xdr:colOff>
      <xdr:row>68</xdr:row>
      <xdr:rowOff>96051</xdr:rowOff>
    </xdr:to>
    <xdr:sp macro="" textlink="">
      <xdr:nvSpPr>
        <xdr:cNvPr id="126" name="Zeshoek 125">
          <a:extLst>
            <a:ext uri="{FF2B5EF4-FFF2-40B4-BE49-F238E27FC236}">
              <a16:creationId xmlns:a16="http://schemas.microsoft.com/office/drawing/2014/main" id="{00000000-0008-0000-0100-00007E000000}"/>
            </a:ext>
          </a:extLst>
        </xdr:cNvPr>
        <xdr:cNvSpPr/>
      </xdr:nvSpPr>
      <xdr:spPr>
        <a:xfrm>
          <a:off x="12570599" y="12159182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312964</xdr:colOff>
      <xdr:row>68</xdr:row>
      <xdr:rowOff>101652</xdr:rowOff>
    </xdr:from>
    <xdr:to>
      <xdr:col>22</xdr:col>
      <xdr:colOff>136090</xdr:colOff>
      <xdr:row>73</xdr:row>
      <xdr:rowOff>40021</xdr:rowOff>
    </xdr:to>
    <xdr:sp macro="" textlink="">
      <xdr:nvSpPr>
        <xdr:cNvPr id="127" name="Zeshoek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SpPr/>
      </xdr:nvSpPr>
      <xdr:spPr>
        <a:xfrm>
          <a:off x="12559393" y="13055652"/>
          <a:ext cx="1047768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19</xdr:col>
      <xdr:colOff>95250</xdr:colOff>
      <xdr:row>70</xdr:row>
      <xdr:rowOff>136071</xdr:rowOff>
    </xdr:from>
    <xdr:to>
      <xdr:col>20</xdr:col>
      <xdr:colOff>522902</xdr:colOff>
      <xdr:row>75</xdr:row>
      <xdr:rowOff>74440</xdr:rowOff>
    </xdr:to>
    <xdr:sp macro="" textlink="">
      <xdr:nvSpPr>
        <xdr:cNvPr id="132" name="Zeshoek 131">
          <a:extLst>
            <a:ext uri="{FF2B5EF4-FFF2-40B4-BE49-F238E27FC236}">
              <a16:creationId xmlns:a16="http://schemas.microsoft.com/office/drawing/2014/main" id="{00000000-0008-0000-0100-000084000000}"/>
            </a:ext>
          </a:extLst>
        </xdr:cNvPr>
        <xdr:cNvSpPr/>
      </xdr:nvSpPr>
      <xdr:spPr>
        <a:xfrm>
          <a:off x="11729357" y="13471071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20</xdr:col>
      <xdr:colOff>299356</xdr:colOff>
      <xdr:row>73</xdr:row>
      <xdr:rowOff>40822</xdr:rowOff>
    </xdr:from>
    <xdr:to>
      <xdr:col>22</xdr:col>
      <xdr:colOff>118001</xdr:colOff>
      <xdr:row>77</xdr:row>
      <xdr:rowOff>169691</xdr:rowOff>
    </xdr:to>
    <xdr:sp macro="" textlink="">
      <xdr:nvSpPr>
        <xdr:cNvPr id="133" name="Zeshoek 132">
          <a:extLst>
            <a:ext uri="{FF2B5EF4-FFF2-40B4-BE49-F238E27FC236}">
              <a16:creationId xmlns:a16="http://schemas.microsoft.com/office/drawing/2014/main" id="{00000000-0008-0000-0100-000085000000}"/>
            </a:ext>
          </a:extLst>
        </xdr:cNvPr>
        <xdr:cNvSpPr/>
      </xdr:nvSpPr>
      <xdr:spPr>
        <a:xfrm>
          <a:off x="12545785" y="13947322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21</xdr:col>
      <xdr:colOff>528277</xdr:colOff>
      <xdr:row>61</xdr:row>
      <xdr:rowOff>95250</xdr:rowOff>
    </xdr:from>
    <xdr:to>
      <xdr:col>23</xdr:col>
      <xdr:colOff>346921</xdr:colOff>
      <xdr:row>66</xdr:row>
      <xdr:rowOff>33619</xdr:rowOff>
    </xdr:to>
    <xdr:sp macro="" textlink="">
      <xdr:nvSpPr>
        <xdr:cNvPr id="134" name="Zeshoek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SpPr/>
      </xdr:nvSpPr>
      <xdr:spPr>
        <a:xfrm>
          <a:off x="13387027" y="1171575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517071</xdr:colOff>
      <xdr:row>66</xdr:row>
      <xdr:rowOff>39220</xdr:rowOff>
    </xdr:from>
    <xdr:to>
      <xdr:col>23</xdr:col>
      <xdr:colOff>347992</xdr:colOff>
      <xdr:row>70</xdr:row>
      <xdr:rowOff>168089</xdr:rowOff>
    </xdr:to>
    <xdr:sp macro="" textlink="">
      <xdr:nvSpPr>
        <xdr:cNvPr id="135" name="Zeshoek 134">
          <a:extLst>
            <a:ext uri="{FF2B5EF4-FFF2-40B4-BE49-F238E27FC236}">
              <a16:creationId xmlns:a16="http://schemas.microsoft.com/office/drawing/2014/main" id="{00000000-0008-0000-0100-000087000000}"/>
            </a:ext>
          </a:extLst>
        </xdr:cNvPr>
        <xdr:cNvSpPr/>
      </xdr:nvSpPr>
      <xdr:spPr>
        <a:xfrm>
          <a:off x="13375821" y="12612220"/>
          <a:ext cx="105556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21</xdr:col>
      <xdr:colOff>530679</xdr:colOff>
      <xdr:row>70</xdr:row>
      <xdr:rowOff>176893</xdr:rowOff>
    </xdr:from>
    <xdr:to>
      <xdr:col>23</xdr:col>
      <xdr:colOff>346010</xdr:colOff>
      <xdr:row>75</xdr:row>
      <xdr:rowOff>115262</xdr:rowOff>
    </xdr:to>
    <xdr:sp macro="" textlink="">
      <xdr:nvSpPr>
        <xdr:cNvPr id="136" name="Zeshoek 135">
          <a:extLst>
            <a:ext uri="{FF2B5EF4-FFF2-40B4-BE49-F238E27FC236}">
              <a16:creationId xmlns:a16="http://schemas.microsoft.com/office/drawing/2014/main" id="{00000000-0008-0000-0100-000088000000}"/>
            </a:ext>
          </a:extLst>
        </xdr:cNvPr>
        <xdr:cNvSpPr/>
      </xdr:nvSpPr>
      <xdr:spPr>
        <a:xfrm>
          <a:off x="13389429" y="13511893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35</xdr:row>
      <xdr:rowOff>95250</xdr:rowOff>
    </xdr:from>
    <xdr:to>
      <xdr:col>25</xdr:col>
      <xdr:colOff>7223</xdr:colOff>
      <xdr:row>40</xdr:row>
      <xdr:rowOff>33619</xdr:rowOff>
    </xdr:to>
    <xdr:sp macro="" textlink="">
      <xdr:nvSpPr>
        <xdr:cNvPr id="137" name="Zeshoek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SpPr/>
      </xdr:nvSpPr>
      <xdr:spPr>
        <a:xfrm>
          <a:off x="14267490" y="6762750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Dierlijk</a:t>
          </a:r>
        </a:p>
      </xdr:txBody>
    </xdr:sp>
    <xdr:clientData/>
  </xdr:twoCellAnchor>
  <xdr:twoCellAnchor>
    <xdr:from>
      <xdr:col>23</xdr:col>
      <xdr:colOff>184097</xdr:colOff>
      <xdr:row>40</xdr:row>
      <xdr:rowOff>50427</xdr:rowOff>
    </xdr:from>
    <xdr:to>
      <xdr:col>24</xdr:col>
      <xdr:colOff>611751</xdr:colOff>
      <xdr:row>44</xdr:row>
      <xdr:rowOff>179296</xdr:rowOff>
    </xdr:to>
    <xdr:sp macro="" textlink="">
      <xdr:nvSpPr>
        <xdr:cNvPr id="138" name="Zeshoek 137">
          <a:extLst>
            <a:ext uri="{FF2B5EF4-FFF2-40B4-BE49-F238E27FC236}">
              <a16:creationId xmlns:a16="http://schemas.microsoft.com/office/drawing/2014/main" id="{00000000-0008-0000-0100-00008A000000}"/>
            </a:ext>
          </a:extLst>
        </xdr:cNvPr>
        <xdr:cNvSpPr/>
      </xdr:nvSpPr>
      <xdr:spPr>
        <a:xfrm>
          <a:off x="14267490" y="7670427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44</xdr:row>
      <xdr:rowOff>184897</xdr:rowOff>
    </xdr:from>
    <xdr:to>
      <xdr:col>24</xdr:col>
      <xdr:colOff>608339</xdr:colOff>
      <xdr:row>49</xdr:row>
      <xdr:rowOff>123266</xdr:rowOff>
    </xdr:to>
    <xdr:sp macro="" textlink="">
      <xdr:nvSpPr>
        <xdr:cNvPr id="139" name="Zeshoek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SpPr/>
      </xdr:nvSpPr>
      <xdr:spPr>
        <a:xfrm>
          <a:off x="14256284" y="8566897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184097</xdr:colOff>
      <xdr:row>49</xdr:row>
      <xdr:rowOff>140074</xdr:rowOff>
    </xdr:from>
    <xdr:to>
      <xdr:col>24</xdr:col>
      <xdr:colOff>611751</xdr:colOff>
      <xdr:row>54</xdr:row>
      <xdr:rowOff>78443</xdr:rowOff>
    </xdr:to>
    <xdr:sp macro="" textlink="">
      <xdr:nvSpPr>
        <xdr:cNvPr id="140" name="Zeshoek 139">
          <a:extLst>
            <a:ext uri="{FF2B5EF4-FFF2-40B4-BE49-F238E27FC236}">
              <a16:creationId xmlns:a16="http://schemas.microsoft.com/office/drawing/2014/main" id="{00000000-0008-0000-0100-00008C000000}"/>
            </a:ext>
          </a:extLst>
        </xdr:cNvPr>
        <xdr:cNvSpPr/>
      </xdr:nvSpPr>
      <xdr:spPr>
        <a:xfrm>
          <a:off x="14267490" y="947457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172891</xdr:colOff>
      <xdr:row>54</xdr:row>
      <xdr:rowOff>84044</xdr:rowOff>
    </xdr:from>
    <xdr:to>
      <xdr:col>24</xdr:col>
      <xdr:colOff>608339</xdr:colOff>
      <xdr:row>59</xdr:row>
      <xdr:rowOff>22413</xdr:rowOff>
    </xdr:to>
    <xdr:sp macro="" textlink="">
      <xdr:nvSpPr>
        <xdr:cNvPr id="141" name="Zeshoek 140">
          <a:extLst>
            <a:ext uri="{FF2B5EF4-FFF2-40B4-BE49-F238E27FC236}">
              <a16:creationId xmlns:a16="http://schemas.microsoft.com/office/drawing/2014/main" id="{00000000-0008-0000-0100-00008D000000}"/>
            </a:ext>
          </a:extLst>
        </xdr:cNvPr>
        <xdr:cNvSpPr/>
      </xdr:nvSpPr>
      <xdr:spPr>
        <a:xfrm>
          <a:off x="14256284" y="1037104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23</xdr:col>
      <xdr:colOff>147278</xdr:colOff>
      <xdr:row>59</xdr:row>
      <xdr:rowOff>25614</xdr:rowOff>
    </xdr:from>
    <xdr:to>
      <xdr:col>24</xdr:col>
      <xdr:colOff>574932</xdr:colOff>
      <xdr:row>63</xdr:row>
      <xdr:rowOff>154483</xdr:rowOff>
    </xdr:to>
    <xdr:sp macro="" textlink="">
      <xdr:nvSpPr>
        <xdr:cNvPr id="142" name="Zeshoek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SpPr/>
      </xdr:nvSpPr>
      <xdr:spPr>
        <a:xfrm>
          <a:off x="14230671" y="11265114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23</xdr:col>
      <xdr:colOff>136072</xdr:colOff>
      <xdr:row>63</xdr:row>
      <xdr:rowOff>160084</xdr:rowOff>
    </xdr:from>
    <xdr:to>
      <xdr:col>24</xdr:col>
      <xdr:colOff>571520</xdr:colOff>
      <xdr:row>68</xdr:row>
      <xdr:rowOff>98453</xdr:rowOff>
    </xdr:to>
    <xdr:sp macro="" textlink="">
      <xdr:nvSpPr>
        <xdr:cNvPr id="143" name="Zeshoek 142">
          <a:extLst>
            <a:ext uri="{FF2B5EF4-FFF2-40B4-BE49-F238E27FC236}">
              <a16:creationId xmlns:a16="http://schemas.microsoft.com/office/drawing/2014/main" id="{00000000-0008-0000-0100-00008F000000}"/>
            </a:ext>
          </a:extLst>
        </xdr:cNvPr>
        <xdr:cNvSpPr/>
      </xdr:nvSpPr>
      <xdr:spPr>
        <a:xfrm>
          <a:off x="14219465" y="1216158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Met</a:t>
          </a:r>
        </a:p>
        <a:p>
          <a:pPr algn="ctr"/>
          <a:r>
            <a:rPr lang="nl-NL" b="1"/>
            <a:t>Dubbel t</a:t>
          </a:r>
        </a:p>
      </xdr:txBody>
    </xdr:sp>
    <xdr:clientData/>
  </xdr:twoCellAnchor>
  <xdr:twoCellAnchor>
    <xdr:from>
      <xdr:col>23</xdr:col>
      <xdr:colOff>136071</xdr:colOff>
      <xdr:row>68</xdr:row>
      <xdr:rowOff>107257</xdr:rowOff>
    </xdr:from>
    <xdr:to>
      <xdr:col>24</xdr:col>
      <xdr:colOff>567037</xdr:colOff>
      <xdr:row>73</xdr:row>
      <xdr:rowOff>45626</xdr:rowOff>
    </xdr:to>
    <xdr:sp macro="" textlink="">
      <xdr:nvSpPr>
        <xdr:cNvPr id="144" name="Zeshoek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SpPr/>
      </xdr:nvSpPr>
      <xdr:spPr>
        <a:xfrm>
          <a:off x="14219464" y="1306125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Zittend</a:t>
          </a:r>
        </a:p>
        <a:p>
          <a:pPr algn="ctr"/>
          <a:r>
            <a:rPr lang="nl-NL" b="1"/>
            <a:t>Meisje</a:t>
          </a:r>
        </a:p>
      </xdr:txBody>
    </xdr:sp>
    <xdr:clientData/>
  </xdr:twoCellAnchor>
  <xdr:twoCellAnchor>
    <xdr:from>
      <xdr:col>24</xdr:col>
      <xdr:colOff>404213</xdr:colOff>
      <xdr:row>33</xdr:row>
      <xdr:rowOff>0</xdr:rowOff>
    </xdr:from>
    <xdr:to>
      <xdr:col>26</xdr:col>
      <xdr:colOff>219544</xdr:colOff>
      <xdr:row>37</xdr:row>
      <xdr:rowOff>128869</xdr:rowOff>
    </xdr:to>
    <xdr:sp macro="" textlink="">
      <xdr:nvSpPr>
        <xdr:cNvPr id="145" name="Zeshoek 144">
          <a:extLst>
            <a:ext uri="{FF2B5EF4-FFF2-40B4-BE49-F238E27FC236}">
              <a16:creationId xmlns:a16="http://schemas.microsoft.com/office/drawing/2014/main" id="{00000000-0008-0000-0100-000091000000}"/>
            </a:ext>
          </a:extLst>
        </xdr:cNvPr>
        <xdr:cNvSpPr/>
      </xdr:nvSpPr>
      <xdr:spPr>
        <a:xfrm>
          <a:off x="15099927" y="6286500"/>
          <a:ext cx="103997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404212</xdr:colOff>
      <xdr:row>37</xdr:row>
      <xdr:rowOff>145677</xdr:rowOff>
    </xdr:from>
    <xdr:to>
      <xdr:col>26</xdr:col>
      <xdr:colOff>235132</xdr:colOff>
      <xdr:row>42</xdr:row>
      <xdr:rowOff>84046</xdr:rowOff>
    </xdr:to>
    <xdr:sp macro="" textlink="">
      <xdr:nvSpPr>
        <xdr:cNvPr id="146" name="Zeshoek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SpPr/>
      </xdr:nvSpPr>
      <xdr:spPr>
        <a:xfrm>
          <a:off x="15099926" y="7194177"/>
          <a:ext cx="1055563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381801</xdr:colOff>
      <xdr:row>42</xdr:row>
      <xdr:rowOff>100853</xdr:rowOff>
    </xdr:from>
    <xdr:to>
      <xdr:col>26</xdr:col>
      <xdr:colOff>200444</xdr:colOff>
      <xdr:row>47</xdr:row>
      <xdr:rowOff>39222</xdr:rowOff>
    </xdr:to>
    <xdr:sp macro="" textlink="">
      <xdr:nvSpPr>
        <xdr:cNvPr id="147" name="Zeshoek 146">
          <a:extLst>
            <a:ext uri="{FF2B5EF4-FFF2-40B4-BE49-F238E27FC236}">
              <a16:creationId xmlns:a16="http://schemas.microsoft.com/office/drawing/2014/main" id="{00000000-0008-0000-0100-000093000000}"/>
            </a:ext>
          </a:extLst>
        </xdr:cNvPr>
        <xdr:cNvSpPr/>
      </xdr:nvSpPr>
      <xdr:spPr>
        <a:xfrm>
          <a:off x="15077515" y="8101853"/>
          <a:ext cx="104328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375395</xdr:colOff>
      <xdr:row>47</xdr:row>
      <xdr:rowOff>62434</xdr:rowOff>
    </xdr:from>
    <xdr:to>
      <xdr:col>26</xdr:col>
      <xdr:colOff>206314</xdr:colOff>
      <xdr:row>52</xdr:row>
      <xdr:rowOff>803</xdr:rowOff>
    </xdr:to>
    <xdr:sp macro="" textlink="">
      <xdr:nvSpPr>
        <xdr:cNvPr id="148" name="Zeshoek 147">
          <a:extLst>
            <a:ext uri="{FF2B5EF4-FFF2-40B4-BE49-F238E27FC236}">
              <a16:creationId xmlns:a16="http://schemas.microsoft.com/office/drawing/2014/main" id="{00000000-0008-0000-0100-000094000000}"/>
            </a:ext>
          </a:extLst>
        </xdr:cNvPr>
        <xdr:cNvSpPr/>
      </xdr:nvSpPr>
      <xdr:spPr>
        <a:xfrm>
          <a:off x="15071109" y="901593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385802</xdr:colOff>
      <xdr:row>52</xdr:row>
      <xdr:rowOff>17610</xdr:rowOff>
    </xdr:from>
    <xdr:to>
      <xdr:col>26</xdr:col>
      <xdr:colOff>204446</xdr:colOff>
      <xdr:row>56</xdr:row>
      <xdr:rowOff>146479</xdr:rowOff>
    </xdr:to>
    <xdr:sp macro="" textlink="">
      <xdr:nvSpPr>
        <xdr:cNvPr id="149" name="Zeshoek 148">
          <a:extLst>
            <a:ext uri="{FF2B5EF4-FFF2-40B4-BE49-F238E27FC236}">
              <a16:creationId xmlns:a16="http://schemas.microsoft.com/office/drawing/2014/main" id="{00000000-0008-0000-0100-000095000000}"/>
            </a:ext>
          </a:extLst>
        </xdr:cNvPr>
        <xdr:cNvSpPr/>
      </xdr:nvSpPr>
      <xdr:spPr>
        <a:xfrm>
          <a:off x="15081516" y="992361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362588</xdr:colOff>
      <xdr:row>56</xdr:row>
      <xdr:rowOff>144996</xdr:rowOff>
    </xdr:from>
    <xdr:to>
      <xdr:col>26</xdr:col>
      <xdr:colOff>193507</xdr:colOff>
      <xdr:row>61</xdr:row>
      <xdr:rowOff>83365</xdr:rowOff>
    </xdr:to>
    <xdr:sp macro="" textlink="">
      <xdr:nvSpPr>
        <xdr:cNvPr id="150" name="Zeshoek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SpPr/>
      </xdr:nvSpPr>
      <xdr:spPr>
        <a:xfrm>
          <a:off x="15058302" y="10812996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24</xdr:col>
      <xdr:colOff>358587</xdr:colOff>
      <xdr:row>61</xdr:row>
      <xdr:rowOff>99253</xdr:rowOff>
    </xdr:from>
    <xdr:to>
      <xdr:col>26</xdr:col>
      <xdr:colOff>177231</xdr:colOff>
      <xdr:row>66</xdr:row>
      <xdr:rowOff>37622</xdr:rowOff>
    </xdr:to>
    <xdr:sp macro="" textlink="">
      <xdr:nvSpPr>
        <xdr:cNvPr id="151" name="Zeshoek 150">
          <a:extLst>
            <a:ext uri="{FF2B5EF4-FFF2-40B4-BE49-F238E27FC236}">
              <a16:creationId xmlns:a16="http://schemas.microsoft.com/office/drawing/2014/main" id="{00000000-0008-0000-0100-000097000000}"/>
            </a:ext>
          </a:extLst>
        </xdr:cNvPr>
        <xdr:cNvSpPr/>
      </xdr:nvSpPr>
      <xdr:spPr>
        <a:xfrm>
          <a:off x="15054301" y="11719753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24</xdr:col>
      <xdr:colOff>353786</xdr:colOff>
      <xdr:row>66</xdr:row>
      <xdr:rowOff>17610</xdr:rowOff>
    </xdr:from>
    <xdr:to>
      <xdr:col>26</xdr:col>
      <xdr:colOff>169118</xdr:colOff>
      <xdr:row>70</xdr:row>
      <xdr:rowOff>146479</xdr:rowOff>
    </xdr:to>
    <xdr:sp macro="" textlink="">
      <xdr:nvSpPr>
        <xdr:cNvPr id="152" name="Zeshoek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SpPr/>
      </xdr:nvSpPr>
      <xdr:spPr>
        <a:xfrm>
          <a:off x="15049500" y="12590610"/>
          <a:ext cx="1039975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30</xdr:row>
      <xdr:rowOff>149678</xdr:rowOff>
    </xdr:from>
    <xdr:to>
      <xdr:col>27</xdr:col>
      <xdr:colOff>429044</xdr:colOff>
      <xdr:row>35</xdr:row>
      <xdr:rowOff>88047</xdr:rowOff>
    </xdr:to>
    <xdr:sp macro="" textlink="">
      <xdr:nvSpPr>
        <xdr:cNvPr id="153" name="Zeshoek 152">
          <a:extLst>
            <a:ext uri="{FF2B5EF4-FFF2-40B4-BE49-F238E27FC236}">
              <a16:creationId xmlns:a16="http://schemas.microsoft.com/office/drawing/2014/main" id="{00000000-0008-0000-0100-000099000000}"/>
            </a:ext>
          </a:extLst>
        </xdr:cNvPr>
        <xdr:cNvSpPr/>
      </xdr:nvSpPr>
      <xdr:spPr>
        <a:xfrm>
          <a:off x="15921157" y="5864678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26</xdr:col>
      <xdr:colOff>800</xdr:colOff>
      <xdr:row>35</xdr:row>
      <xdr:rowOff>93649</xdr:rowOff>
    </xdr:from>
    <xdr:to>
      <xdr:col>27</xdr:col>
      <xdr:colOff>424562</xdr:colOff>
      <xdr:row>40</xdr:row>
      <xdr:rowOff>32018</xdr:rowOff>
    </xdr:to>
    <xdr:sp macro="" textlink="">
      <xdr:nvSpPr>
        <xdr:cNvPr id="154" name="Zeshoek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SpPr/>
      </xdr:nvSpPr>
      <xdr:spPr>
        <a:xfrm>
          <a:off x="15921157" y="6761149"/>
          <a:ext cx="1036084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601915</xdr:colOff>
      <xdr:row>40</xdr:row>
      <xdr:rowOff>37619</xdr:rowOff>
    </xdr:from>
    <xdr:to>
      <xdr:col>27</xdr:col>
      <xdr:colOff>417838</xdr:colOff>
      <xdr:row>44</xdr:row>
      <xdr:rowOff>166488</xdr:rowOff>
    </xdr:to>
    <xdr:sp macro="" textlink="">
      <xdr:nvSpPr>
        <xdr:cNvPr id="155" name="Zeshoek 154">
          <a:extLst>
            <a:ext uri="{FF2B5EF4-FFF2-40B4-BE49-F238E27FC236}">
              <a16:creationId xmlns:a16="http://schemas.microsoft.com/office/drawing/2014/main" id="{00000000-0008-0000-0100-00009B000000}"/>
            </a:ext>
          </a:extLst>
        </xdr:cNvPr>
        <xdr:cNvSpPr/>
      </xdr:nvSpPr>
      <xdr:spPr>
        <a:xfrm>
          <a:off x="15909951" y="7657619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25</xdr:col>
      <xdr:colOff>601915</xdr:colOff>
      <xdr:row>44</xdr:row>
      <xdr:rowOff>183296</xdr:rowOff>
    </xdr:from>
    <xdr:to>
      <xdr:col>27</xdr:col>
      <xdr:colOff>410044</xdr:colOff>
      <xdr:row>49</xdr:row>
      <xdr:rowOff>121665</xdr:rowOff>
    </xdr:to>
    <xdr:sp macro="" textlink="">
      <xdr:nvSpPr>
        <xdr:cNvPr id="156" name="Zeshoek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SpPr/>
      </xdr:nvSpPr>
      <xdr:spPr>
        <a:xfrm>
          <a:off x="15909951" y="856529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590709</xdr:colOff>
      <xdr:row>49</xdr:row>
      <xdr:rowOff>127266</xdr:rowOff>
    </xdr:from>
    <xdr:to>
      <xdr:col>27</xdr:col>
      <xdr:colOff>406632</xdr:colOff>
      <xdr:row>54</xdr:row>
      <xdr:rowOff>65635</xdr:rowOff>
    </xdr:to>
    <xdr:sp macro="" textlink="">
      <xdr:nvSpPr>
        <xdr:cNvPr id="157" name="Zeshoek 156">
          <a:extLst>
            <a:ext uri="{FF2B5EF4-FFF2-40B4-BE49-F238E27FC236}">
              <a16:creationId xmlns:a16="http://schemas.microsoft.com/office/drawing/2014/main" id="{00000000-0008-0000-0100-00009D000000}"/>
            </a:ext>
          </a:extLst>
        </xdr:cNvPr>
        <xdr:cNvSpPr/>
      </xdr:nvSpPr>
      <xdr:spPr>
        <a:xfrm>
          <a:off x="15898745" y="9461766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West</a:t>
          </a:r>
        </a:p>
        <a:p>
          <a:pPr algn="ctr"/>
          <a:r>
            <a:rPr lang="nl-NL" b="1"/>
            <a:t>Brabant</a:t>
          </a:r>
        </a:p>
      </xdr:txBody>
    </xdr:sp>
    <xdr:clientData/>
  </xdr:twoCellAnchor>
  <xdr:twoCellAnchor>
    <xdr:from>
      <xdr:col>25</xdr:col>
      <xdr:colOff>588307</xdr:colOff>
      <xdr:row>54</xdr:row>
      <xdr:rowOff>68836</xdr:rowOff>
    </xdr:from>
    <xdr:to>
      <xdr:col>27</xdr:col>
      <xdr:colOff>396436</xdr:colOff>
      <xdr:row>59</xdr:row>
      <xdr:rowOff>7205</xdr:rowOff>
    </xdr:to>
    <xdr:sp macro="" textlink="">
      <xdr:nvSpPr>
        <xdr:cNvPr id="158" name="Zeshoek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SpPr/>
      </xdr:nvSpPr>
      <xdr:spPr>
        <a:xfrm>
          <a:off x="15896343" y="10355836"/>
          <a:ext cx="1032772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25</xdr:col>
      <xdr:colOff>585107</xdr:colOff>
      <xdr:row>59</xdr:row>
      <xdr:rowOff>19210</xdr:rowOff>
    </xdr:from>
    <xdr:to>
      <xdr:col>27</xdr:col>
      <xdr:colOff>401030</xdr:colOff>
      <xdr:row>63</xdr:row>
      <xdr:rowOff>148079</xdr:rowOff>
    </xdr:to>
    <xdr:sp macro="" textlink="">
      <xdr:nvSpPr>
        <xdr:cNvPr id="159" name="Zeshoek 158">
          <a:extLst>
            <a:ext uri="{FF2B5EF4-FFF2-40B4-BE49-F238E27FC236}">
              <a16:creationId xmlns:a16="http://schemas.microsoft.com/office/drawing/2014/main" id="{00000000-0008-0000-0100-00009F000000}"/>
            </a:ext>
          </a:extLst>
        </xdr:cNvPr>
        <xdr:cNvSpPr/>
      </xdr:nvSpPr>
      <xdr:spPr>
        <a:xfrm>
          <a:off x="15893143" y="11258710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r>
            <a:rPr lang="nl-NL" b="1"/>
            <a:t>3x</a:t>
          </a:r>
        </a:p>
        <a:p>
          <a:pPr algn="ctr"/>
          <a:r>
            <a:rPr lang="nl-NL" b="1"/>
            <a:t>dezelfde</a:t>
          </a:r>
        </a:p>
        <a:p>
          <a:pPr algn="ctr"/>
          <a:r>
            <a:rPr lang="nl-NL" b="1"/>
            <a:t>letter</a:t>
          </a:r>
        </a:p>
        <a:p>
          <a:pPr algn="ctr"/>
          <a:endParaRPr lang="nl-NL" b="1"/>
        </a:p>
      </xdr:txBody>
    </xdr:sp>
    <xdr:clientData/>
  </xdr:twoCellAnchor>
  <xdr:twoCellAnchor>
    <xdr:from>
      <xdr:col>25</xdr:col>
      <xdr:colOff>557892</xdr:colOff>
      <xdr:row>63</xdr:row>
      <xdr:rowOff>141675</xdr:rowOff>
    </xdr:from>
    <xdr:to>
      <xdr:col>27</xdr:col>
      <xdr:colOff>388811</xdr:colOff>
      <xdr:row>68</xdr:row>
      <xdr:rowOff>80044</xdr:rowOff>
    </xdr:to>
    <xdr:sp macro="" textlink="">
      <xdr:nvSpPr>
        <xdr:cNvPr id="160" name="Zeshoek 159">
          <a:extLst>
            <a:ext uri="{FF2B5EF4-FFF2-40B4-BE49-F238E27FC236}">
              <a16:creationId xmlns:a16="http://schemas.microsoft.com/office/drawing/2014/main" id="{00000000-0008-0000-0100-0000A0000000}"/>
            </a:ext>
          </a:extLst>
        </xdr:cNvPr>
        <xdr:cNvSpPr/>
      </xdr:nvSpPr>
      <xdr:spPr>
        <a:xfrm>
          <a:off x="15865928" y="12143175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202507</xdr:colOff>
      <xdr:row>28</xdr:row>
      <xdr:rowOff>54429</xdr:rowOff>
    </xdr:from>
    <xdr:to>
      <xdr:col>29</xdr:col>
      <xdr:colOff>21150</xdr:colOff>
      <xdr:row>32</xdr:row>
      <xdr:rowOff>183298</xdr:rowOff>
    </xdr:to>
    <xdr:sp macro="" textlink="">
      <xdr:nvSpPr>
        <xdr:cNvPr id="161" name="Zeshoek 160">
          <a:extLst>
            <a:ext uri="{FF2B5EF4-FFF2-40B4-BE49-F238E27FC236}">
              <a16:creationId xmlns:a16="http://schemas.microsoft.com/office/drawing/2014/main" id="{00000000-0008-0000-0100-0000A1000000}"/>
            </a:ext>
          </a:extLst>
        </xdr:cNvPr>
        <xdr:cNvSpPr/>
      </xdr:nvSpPr>
      <xdr:spPr>
        <a:xfrm>
          <a:off x="16735186" y="5388429"/>
          <a:ext cx="1043285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180094</xdr:colOff>
      <xdr:row>42</xdr:row>
      <xdr:rowOff>76841</xdr:rowOff>
    </xdr:from>
    <xdr:to>
      <xdr:col>29</xdr:col>
      <xdr:colOff>11014</xdr:colOff>
      <xdr:row>47</xdr:row>
      <xdr:rowOff>15210</xdr:rowOff>
    </xdr:to>
    <xdr:sp macro="" textlink="">
      <xdr:nvSpPr>
        <xdr:cNvPr id="162" name="Zeshoek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SpPr/>
      </xdr:nvSpPr>
      <xdr:spPr>
        <a:xfrm>
          <a:off x="16712773" y="8077841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191301</xdr:colOff>
      <xdr:row>32</xdr:row>
      <xdr:rowOff>177694</xdr:rowOff>
    </xdr:from>
    <xdr:to>
      <xdr:col>29</xdr:col>
      <xdr:colOff>22221</xdr:colOff>
      <xdr:row>37</xdr:row>
      <xdr:rowOff>116063</xdr:rowOff>
    </xdr:to>
    <xdr:sp macro="" textlink="">
      <xdr:nvSpPr>
        <xdr:cNvPr id="163" name="Zeshoek 162">
          <a:extLst>
            <a:ext uri="{FF2B5EF4-FFF2-40B4-BE49-F238E27FC236}">
              <a16:creationId xmlns:a16="http://schemas.microsoft.com/office/drawing/2014/main" id="{00000000-0008-0000-0100-0000A3000000}"/>
            </a:ext>
          </a:extLst>
        </xdr:cNvPr>
        <xdr:cNvSpPr/>
      </xdr:nvSpPr>
      <xdr:spPr>
        <a:xfrm>
          <a:off x="16723980" y="6273694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202507</xdr:colOff>
      <xdr:row>37</xdr:row>
      <xdr:rowOff>132870</xdr:rowOff>
    </xdr:from>
    <xdr:to>
      <xdr:col>29</xdr:col>
      <xdr:colOff>25632</xdr:colOff>
      <xdr:row>42</xdr:row>
      <xdr:rowOff>71239</xdr:rowOff>
    </xdr:to>
    <xdr:sp macro="" textlink="">
      <xdr:nvSpPr>
        <xdr:cNvPr id="164" name="Zeshoek 163">
          <a:extLst>
            <a:ext uri="{FF2B5EF4-FFF2-40B4-BE49-F238E27FC236}">
              <a16:creationId xmlns:a16="http://schemas.microsoft.com/office/drawing/2014/main" id="{00000000-0008-0000-0100-0000A4000000}"/>
            </a:ext>
          </a:extLst>
        </xdr:cNvPr>
        <xdr:cNvSpPr/>
      </xdr:nvSpPr>
      <xdr:spPr>
        <a:xfrm>
          <a:off x="16735186" y="7181370"/>
          <a:ext cx="1047767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190501</xdr:colOff>
      <xdr:row>47</xdr:row>
      <xdr:rowOff>32017</xdr:rowOff>
    </xdr:from>
    <xdr:to>
      <xdr:col>29</xdr:col>
      <xdr:colOff>9146</xdr:colOff>
      <xdr:row>51</xdr:row>
      <xdr:rowOff>160886</xdr:rowOff>
    </xdr:to>
    <xdr:sp macro="" textlink="">
      <xdr:nvSpPr>
        <xdr:cNvPr id="165" name="Zeshoek 164">
          <a:extLst>
            <a:ext uri="{FF2B5EF4-FFF2-40B4-BE49-F238E27FC236}">
              <a16:creationId xmlns:a16="http://schemas.microsoft.com/office/drawing/2014/main" id="{00000000-0008-0000-0100-0000A5000000}"/>
            </a:ext>
          </a:extLst>
        </xdr:cNvPr>
        <xdr:cNvSpPr/>
      </xdr:nvSpPr>
      <xdr:spPr>
        <a:xfrm>
          <a:off x="16723180" y="89855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167287</xdr:colOff>
      <xdr:row>51</xdr:row>
      <xdr:rowOff>159403</xdr:rowOff>
    </xdr:from>
    <xdr:to>
      <xdr:col>28</xdr:col>
      <xdr:colOff>610528</xdr:colOff>
      <xdr:row>56</xdr:row>
      <xdr:rowOff>97772</xdr:rowOff>
    </xdr:to>
    <xdr:sp macro="" textlink="">
      <xdr:nvSpPr>
        <xdr:cNvPr id="166" name="Zeshoek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SpPr/>
      </xdr:nvSpPr>
      <xdr:spPr>
        <a:xfrm>
          <a:off x="16699966" y="9874903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27</xdr:col>
      <xdr:colOff>163286</xdr:colOff>
      <xdr:row>56</xdr:row>
      <xdr:rowOff>113660</xdr:rowOff>
    </xdr:from>
    <xdr:to>
      <xdr:col>28</xdr:col>
      <xdr:colOff>594252</xdr:colOff>
      <xdr:row>61</xdr:row>
      <xdr:rowOff>52029</xdr:rowOff>
    </xdr:to>
    <xdr:sp macro="" textlink="">
      <xdr:nvSpPr>
        <xdr:cNvPr id="167" name="Zeshoek 166">
          <a:extLst>
            <a:ext uri="{FF2B5EF4-FFF2-40B4-BE49-F238E27FC236}">
              <a16:creationId xmlns:a16="http://schemas.microsoft.com/office/drawing/2014/main" id="{00000000-0008-0000-0100-0000A7000000}"/>
            </a:ext>
          </a:extLst>
        </xdr:cNvPr>
        <xdr:cNvSpPr/>
      </xdr:nvSpPr>
      <xdr:spPr>
        <a:xfrm>
          <a:off x="16695965" y="10781660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27</xdr:col>
      <xdr:colOff>163285</xdr:colOff>
      <xdr:row>61</xdr:row>
      <xdr:rowOff>45624</xdr:rowOff>
    </xdr:from>
    <xdr:to>
      <xdr:col>28</xdr:col>
      <xdr:colOff>591528</xdr:colOff>
      <xdr:row>65</xdr:row>
      <xdr:rowOff>174493</xdr:rowOff>
    </xdr:to>
    <xdr:sp macro="" textlink="">
      <xdr:nvSpPr>
        <xdr:cNvPr id="168" name="Zeshoek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SpPr/>
      </xdr:nvSpPr>
      <xdr:spPr>
        <a:xfrm>
          <a:off x="16695964" y="1166612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Frits Philips</a:t>
          </a:r>
        </a:p>
      </xdr:txBody>
    </xdr:sp>
    <xdr:clientData/>
  </xdr:twoCellAnchor>
  <xdr:twoCellAnchor>
    <xdr:from>
      <xdr:col>28</xdr:col>
      <xdr:colOff>438630</xdr:colOff>
      <xdr:row>30</xdr:row>
      <xdr:rowOff>122464</xdr:rowOff>
    </xdr:from>
    <xdr:to>
      <xdr:col>30</xdr:col>
      <xdr:colOff>261756</xdr:colOff>
      <xdr:row>35</xdr:row>
      <xdr:rowOff>60833</xdr:rowOff>
    </xdr:to>
    <xdr:sp macro="" textlink="">
      <xdr:nvSpPr>
        <xdr:cNvPr id="169" name="Zeshoek 168">
          <a:extLst>
            <a:ext uri="{FF2B5EF4-FFF2-40B4-BE49-F238E27FC236}">
              <a16:creationId xmlns:a16="http://schemas.microsoft.com/office/drawing/2014/main" id="{00000000-0008-0000-0100-0000A9000000}"/>
            </a:ext>
          </a:extLst>
        </xdr:cNvPr>
        <xdr:cNvSpPr/>
      </xdr:nvSpPr>
      <xdr:spPr>
        <a:xfrm>
          <a:off x="17583630" y="5837464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438630</xdr:colOff>
      <xdr:row>35</xdr:row>
      <xdr:rowOff>77641</xdr:rowOff>
    </xdr:from>
    <xdr:to>
      <xdr:col>30</xdr:col>
      <xdr:colOff>261756</xdr:colOff>
      <xdr:row>40</xdr:row>
      <xdr:rowOff>16010</xdr:rowOff>
    </xdr:to>
    <xdr:sp macro="" textlink="">
      <xdr:nvSpPr>
        <xdr:cNvPr id="170" name="Zeshoek 169">
          <a:extLst>
            <a:ext uri="{FF2B5EF4-FFF2-40B4-BE49-F238E27FC236}">
              <a16:creationId xmlns:a16="http://schemas.microsoft.com/office/drawing/2014/main" id="{00000000-0008-0000-0100-0000AA000000}"/>
            </a:ext>
          </a:extLst>
        </xdr:cNvPr>
        <xdr:cNvSpPr/>
      </xdr:nvSpPr>
      <xdr:spPr>
        <a:xfrm>
          <a:off x="17583630" y="6745141"/>
          <a:ext cx="104776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  Festival</a:t>
          </a:r>
        </a:p>
      </xdr:txBody>
    </xdr:sp>
    <xdr:clientData/>
  </xdr:twoCellAnchor>
  <xdr:twoCellAnchor>
    <xdr:from>
      <xdr:col>28</xdr:col>
      <xdr:colOff>438631</xdr:colOff>
      <xdr:row>40</xdr:row>
      <xdr:rowOff>32817</xdr:rowOff>
    </xdr:from>
    <xdr:to>
      <xdr:col>30</xdr:col>
      <xdr:colOff>257275</xdr:colOff>
      <xdr:row>44</xdr:row>
      <xdr:rowOff>161686</xdr:rowOff>
    </xdr:to>
    <xdr:sp macro="" textlink="">
      <xdr:nvSpPr>
        <xdr:cNvPr id="171" name="Zeshoek 170">
          <a:extLst>
            <a:ext uri="{FF2B5EF4-FFF2-40B4-BE49-F238E27FC236}">
              <a16:creationId xmlns:a16="http://schemas.microsoft.com/office/drawing/2014/main" id="{00000000-0008-0000-0100-0000AB000000}"/>
            </a:ext>
          </a:extLst>
        </xdr:cNvPr>
        <xdr:cNvSpPr/>
      </xdr:nvSpPr>
      <xdr:spPr>
        <a:xfrm>
          <a:off x="17583631" y="7652817"/>
          <a:ext cx="1043287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421823</xdr:colOff>
      <xdr:row>44</xdr:row>
      <xdr:rowOff>177693</xdr:rowOff>
    </xdr:from>
    <xdr:to>
      <xdr:col>30</xdr:col>
      <xdr:colOff>237746</xdr:colOff>
      <xdr:row>49</xdr:row>
      <xdr:rowOff>116062</xdr:rowOff>
    </xdr:to>
    <xdr:sp macro="" textlink="">
      <xdr:nvSpPr>
        <xdr:cNvPr id="172" name="Zeshoek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SpPr/>
      </xdr:nvSpPr>
      <xdr:spPr>
        <a:xfrm>
          <a:off x="17566823" y="8559693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408215</xdr:colOff>
      <xdr:row>49</xdr:row>
      <xdr:rowOff>96050</xdr:rowOff>
    </xdr:from>
    <xdr:to>
      <xdr:col>30</xdr:col>
      <xdr:colOff>224136</xdr:colOff>
      <xdr:row>54</xdr:row>
      <xdr:rowOff>34419</xdr:rowOff>
    </xdr:to>
    <xdr:sp macro="" textlink="">
      <xdr:nvSpPr>
        <xdr:cNvPr id="173" name="Zeshoek 172">
          <a:extLst>
            <a:ext uri="{FF2B5EF4-FFF2-40B4-BE49-F238E27FC236}">
              <a16:creationId xmlns:a16="http://schemas.microsoft.com/office/drawing/2014/main" id="{00000000-0008-0000-0100-0000AD000000}"/>
            </a:ext>
          </a:extLst>
        </xdr:cNvPr>
        <xdr:cNvSpPr/>
      </xdr:nvSpPr>
      <xdr:spPr>
        <a:xfrm>
          <a:off x="17553215" y="9430550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28</xdr:col>
      <xdr:colOff>408215</xdr:colOff>
      <xdr:row>54</xdr:row>
      <xdr:rowOff>28014</xdr:rowOff>
    </xdr:from>
    <xdr:to>
      <xdr:col>30</xdr:col>
      <xdr:colOff>224138</xdr:colOff>
      <xdr:row>58</xdr:row>
      <xdr:rowOff>156883</xdr:rowOff>
    </xdr:to>
    <xdr:sp macro="" textlink="">
      <xdr:nvSpPr>
        <xdr:cNvPr id="174" name="Zeshoek 173">
          <a:extLst>
            <a:ext uri="{FF2B5EF4-FFF2-40B4-BE49-F238E27FC236}">
              <a16:creationId xmlns:a16="http://schemas.microsoft.com/office/drawing/2014/main" id="{00000000-0008-0000-0100-0000AE000000}"/>
            </a:ext>
          </a:extLst>
        </xdr:cNvPr>
        <xdr:cNvSpPr/>
      </xdr:nvSpPr>
      <xdr:spPr>
        <a:xfrm>
          <a:off x="17553215" y="10315014"/>
          <a:ext cx="1040566" cy="890869"/>
        </a:xfrm>
        <a:prstGeom prst="hexagon">
          <a:avLst>
            <a:gd name="adj" fmla="val 25000"/>
            <a:gd name="vf" fmla="val 115470"/>
          </a:avLst>
        </a:prstGeom>
        <a:solidFill>
          <a:schemeClr val="bg1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</xdr:txBody>
    </xdr:sp>
    <xdr:clientData/>
  </xdr:twoCellAnchor>
  <xdr:twoCellAnchor>
    <xdr:from>
      <xdr:col>28</xdr:col>
      <xdr:colOff>381000</xdr:colOff>
      <xdr:row>58</xdr:row>
      <xdr:rowOff>150479</xdr:rowOff>
    </xdr:from>
    <xdr:to>
      <xdr:col>30</xdr:col>
      <xdr:colOff>211919</xdr:colOff>
      <xdr:row>63</xdr:row>
      <xdr:rowOff>88848</xdr:rowOff>
    </xdr:to>
    <xdr:sp macro="" textlink="">
      <xdr:nvSpPr>
        <xdr:cNvPr id="175" name="Zeshoek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SpPr/>
      </xdr:nvSpPr>
      <xdr:spPr>
        <a:xfrm>
          <a:off x="17526000" y="11199479"/>
          <a:ext cx="105556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30</xdr:col>
      <xdr:colOff>8004</xdr:colOff>
      <xdr:row>32</xdr:row>
      <xdr:rowOff>149678</xdr:rowOff>
    </xdr:from>
    <xdr:to>
      <xdr:col>31</xdr:col>
      <xdr:colOff>431765</xdr:colOff>
      <xdr:row>37</xdr:row>
      <xdr:rowOff>88047</xdr:rowOff>
    </xdr:to>
    <xdr:sp macro="" textlink="">
      <xdr:nvSpPr>
        <xdr:cNvPr id="176" name="Zeshoek 175">
          <a:extLst>
            <a:ext uri="{FF2B5EF4-FFF2-40B4-BE49-F238E27FC236}">
              <a16:creationId xmlns:a16="http://schemas.microsoft.com/office/drawing/2014/main" id="{00000000-0008-0000-0100-0000B0000000}"/>
            </a:ext>
          </a:extLst>
        </xdr:cNvPr>
        <xdr:cNvSpPr/>
      </xdr:nvSpPr>
      <xdr:spPr>
        <a:xfrm>
          <a:off x="18377647" y="6245678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Paaspop</a:t>
          </a:r>
        </a:p>
      </xdr:txBody>
    </xdr:sp>
    <xdr:clientData/>
  </xdr:twoCellAnchor>
  <xdr:twoCellAnchor>
    <xdr:from>
      <xdr:col>30</xdr:col>
      <xdr:colOff>6542</xdr:colOff>
      <xdr:row>37</xdr:row>
      <xdr:rowOff>104853</xdr:rowOff>
    </xdr:from>
    <xdr:to>
      <xdr:col>31</xdr:col>
      <xdr:colOff>434785</xdr:colOff>
      <xdr:row>42</xdr:row>
      <xdr:rowOff>43222</xdr:rowOff>
    </xdr:to>
    <xdr:sp macro="" textlink="">
      <xdr:nvSpPr>
        <xdr:cNvPr id="177" name="Zeshoek 176">
          <a:extLst>
            <a:ext uri="{FF2B5EF4-FFF2-40B4-BE49-F238E27FC236}">
              <a16:creationId xmlns:a16="http://schemas.microsoft.com/office/drawing/2014/main" id="{00000000-0008-0000-0100-0000B1000000}"/>
            </a:ext>
          </a:extLst>
        </xdr:cNvPr>
        <xdr:cNvSpPr/>
      </xdr:nvSpPr>
      <xdr:spPr>
        <a:xfrm>
          <a:off x="18376185" y="7153353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endParaRPr lang="nl-NL" b="1"/>
        </a:p>
      </xdr:txBody>
    </xdr:sp>
    <xdr:clientData/>
  </xdr:twoCellAnchor>
  <xdr:twoCellAnchor>
    <xdr:from>
      <xdr:col>29</xdr:col>
      <xdr:colOff>597915</xdr:colOff>
      <xdr:row>42</xdr:row>
      <xdr:rowOff>55108</xdr:rowOff>
    </xdr:from>
    <xdr:to>
      <xdr:col>31</xdr:col>
      <xdr:colOff>421631</xdr:colOff>
      <xdr:row>46</xdr:row>
      <xdr:rowOff>183977</xdr:rowOff>
    </xdr:to>
    <xdr:sp macro="" textlink="">
      <xdr:nvSpPr>
        <xdr:cNvPr id="178" name="Zeshoek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SpPr/>
      </xdr:nvSpPr>
      <xdr:spPr>
        <a:xfrm>
          <a:off x="18355236" y="8056108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609120</xdr:colOff>
      <xdr:row>46</xdr:row>
      <xdr:rowOff>178374</xdr:rowOff>
    </xdr:from>
    <xdr:to>
      <xdr:col>31</xdr:col>
      <xdr:colOff>420559</xdr:colOff>
      <xdr:row>51</xdr:row>
      <xdr:rowOff>116743</xdr:rowOff>
    </xdr:to>
    <xdr:sp macro="" textlink="">
      <xdr:nvSpPr>
        <xdr:cNvPr id="179" name="Zeshoek 178">
          <a:extLst>
            <a:ext uri="{FF2B5EF4-FFF2-40B4-BE49-F238E27FC236}">
              <a16:creationId xmlns:a16="http://schemas.microsoft.com/office/drawing/2014/main" id="{00000000-0008-0000-0100-0000B3000000}"/>
            </a:ext>
          </a:extLst>
        </xdr:cNvPr>
        <xdr:cNvSpPr/>
      </xdr:nvSpPr>
      <xdr:spPr>
        <a:xfrm>
          <a:off x="18366441" y="8941374"/>
          <a:ext cx="1036082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6">
            <a:lumMod val="40000"/>
            <a:lumOff val="6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  <xdr:txBody>
        <a:bodyPr lIns="36000" rIns="36000" anchor="ctr"/>
        <a:lstStyle/>
        <a:p>
          <a:pPr algn="ctr"/>
          <a:endParaRPr lang="nl-NL" b="1"/>
        </a:p>
        <a:p>
          <a:pPr algn="ctr"/>
          <a:r>
            <a:rPr lang="nl-NL" b="1"/>
            <a:t>Stront rapers</a:t>
          </a:r>
        </a:p>
      </xdr:txBody>
    </xdr:sp>
    <xdr:clientData/>
  </xdr:twoCellAnchor>
  <xdr:twoCellAnchor>
    <xdr:from>
      <xdr:col>29</xdr:col>
      <xdr:colOff>585108</xdr:colOff>
      <xdr:row>51</xdr:row>
      <xdr:rowOff>124063</xdr:rowOff>
    </xdr:from>
    <xdr:to>
      <xdr:col>31</xdr:col>
      <xdr:colOff>408824</xdr:colOff>
      <xdr:row>56</xdr:row>
      <xdr:rowOff>62432</xdr:rowOff>
    </xdr:to>
    <xdr:sp macro="" textlink="">
      <xdr:nvSpPr>
        <xdr:cNvPr id="180" name="Zeshoek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SpPr/>
      </xdr:nvSpPr>
      <xdr:spPr>
        <a:xfrm>
          <a:off x="18342429" y="9839563"/>
          <a:ext cx="1048359" cy="890869"/>
        </a:xfrm>
        <a:prstGeom prst="hexagon">
          <a:avLst>
            <a:gd name="adj" fmla="val 25000"/>
            <a:gd name="vf" fmla="val 115470"/>
          </a:avLst>
        </a:prstGeom>
        <a:solidFill>
          <a:schemeClr val="accent3">
            <a:lumMod val="40000"/>
            <a:lumOff val="60000"/>
            <a:alpha val="9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twoCellAnchor>
    <xdr:from>
      <xdr:col>29</xdr:col>
      <xdr:colOff>598714</xdr:colOff>
      <xdr:row>56</xdr:row>
      <xdr:rowOff>69634</xdr:rowOff>
    </xdr:from>
    <xdr:to>
      <xdr:col>31</xdr:col>
      <xdr:colOff>414635</xdr:colOff>
      <xdr:row>61</xdr:row>
      <xdr:rowOff>8003</xdr:rowOff>
    </xdr:to>
    <xdr:sp macro="" textlink="">
      <xdr:nvSpPr>
        <xdr:cNvPr id="181" name="Zeshoek 180">
          <a:extLst>
            <a:ext uri="{FF2B5EF4-FFF2-40B4-BE49-F238E27FC236}">
              <a16:creationId xmlns:a16="http://schemas.microsoft.com/office/drawing/2014/main" id="{00000000-0008-0000-0100-0000B5000000}"/>
            </a:ext>
          </a:extLst>
        </xdr:cNvPr>
        <xdr:cNvSpPr/>
      </xdr:nvSpPr>
      <xdr:spPr>
        <a:xfrm>
          <a:off x="18356035" y="10737634"/>
          <a:ext cx="1040564" cy="890869"/>
        </a:xfrm>
        <a:prstGeom prst="hexagon">
          <a:avLst>
            <a:gd name="adj" fmla="val 25000"/>
            <a:gd name="vf" fmla="val 115470"/>
          </a:avLst>
        </a:prstGeom>
        <a:solidFill>
          <a:srgbClr val="61EE3A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hueOff val="0"/>
            <a:satOff val="0"/>
            <a:lumOff val="0"/>
            <a:alphaOff val="0"/>
          </a:schemeClr>
        </a:lnRef>
        <a:fillRef idx="1">
          <a:schemeClr val="lt1">
            <a:alpha val="90000"/>
            <a:hueOff val="0"/>
            <a:satOff val="0"/>
            <a:lumOff val="0"/>
            <a:alphaOff val="0"/>
          </a:schemeClr>
        </a:fillRef>
        <a:effectRef idx="0">
          <a:schemeClr val="lt1">
            <a:alpha val="90000"/>
            <a:hueOff val="0"/>
            <a:satOff val="0"/>
            <a:lumOff val="0"/>
            <a:alphaOff val="0"/>
          </a:schemeClr>
        </a:effectRef>
        <a:fontRef idx="minor">
          <a:schemeClr val="dk1">
            <a:hueOff val="0"/>
            <a:satOff val="0"/>
            <a:lumOff val="0"/>
            <a:alphaOff val="0"/>
          </a:schemeClr>
        </a:fontRef>
      </xdr:style>
    </xdr:sp>
    <xdr:clientData/>
  </xdr:twoCellAnchor>
  <xdr:oneCellAnchor>
    <xdr:from>
      <xdr:col>9</xdr:col>
      <xdr:colOff>167335</xdr:colOff>
      <xdr:row>32</xdr:row>
      <xdr:rowOff>92648</xdr:rowOff>
    </xdr:from>
    <xdr:ext cx="781111" cy="2672205"/>
    <xdr:sp macro="" textlink="">
      <xdr:nvSpPr>
        <xdr:cNvPr id="2" name="Rechthoek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16200000">
          <a:off x="4732681" y="7134195"/>
          <a:ext cx="267220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Zes Letters</a:t>
          </a:r>
        </a:p>
      </xdr:txBody>
    </xdr:sp>
    <xdr:clientData/>
  </xdr:oneCellAnchor>
  <xdr:oneCellAnchor>
    <xdr:from>
      <xdr:col>10</xdr:col>
      <xdr:colOff>588741</xdr:colOff>
      <xdr:row>10</xdr:row>
      <xdr:rowOff>139585</xdr:rowOff>
    </xdr:from>
    <xdr:ext cx="5284652" cy="781111"/>
    <xdr:sp macro="" textlink="">
      <xdr:nvSpPr>
        <xdr:cNvPr id="182" name="Rechthoek 181">
          <a:extLst>
            <a:ext uri="{FF2B5EF4-FFF2-40B4-BE49-F238E27FC236}">
              <a16:creationId xmlns:a16="http://schemas.microsoft.com/office/drawing/2014/main" id="{00000000-0008-0000-0100-0000B6000000}"/>
            </a:ext>
          </a:extLst>
        </xdr:cNvPr>
        <xdr:cNvSpPr/>
      </xdr:nvSpPr>
      <xdr:spPr>
        <a:xfrm rot="19920893">
          <a:off x="6711955" y="2044585"/>
          <a:ext cx="5284652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Bekende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Brabander(s)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25</xdr:col>
      <xdr:colOff>64634</xdr:colOff>
      <xdr:row>11</xdr:row>
      <xdr:rowOff>10222</xdr:rowOff>
    </xdr:from>
    <xdr:ext cx="2710614" cy="781111"/>
    <xdr:sp macro="" textlink="">
      <xdr:nvSpPr>
        <xdr:cNvPr id="183" name="Rechthoek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SpPr/>
      </xdr:nvSpPr>
      <xdr:spPr>
        <a:xfrm rot="1805773">
          <a:off x="15372670" y="2105722"/>
          <a:ext cx="2710614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Met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 en B</a:t>
          </a:r>
          <a:endParaRPr lang="nl-NL" sz="4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32</xdr:col>
      <xdr:colOff>136099</xdr:colOff>
      <xdr:row>23</xdr:row>
      <xdr:rowOff>167817</xdr:rowOff>
    </xdr:from>
    <xdr:ext cx="781111" cy="7133428"/>
    <xdr:sp macro="" textlink="">
      <xdr:nvSpPr>
        <xdr:cNvPr id="184" name="Rechthoek 183">
          <a:extLst>
            <a:ext uri="{FF2B5EF4-FFF2-40B4-BE49-F238E27FC236}">
              <a16:creationId xmlns:a16="http://schemas.microsoft.com/office/drawing/2014/main" id="{00000000-0008-0000-0100-0000B8000000}"/>
            </a:ext>
          </a:extLst>
        </xdr:cNvPr>
        <xdr:cNvSpPr/>
      </xdr:nvSpPr>
      <xdr:spPr>
        <a:xfrm rot="5400000">
          <a:off x="16554227" y="7725475"/>
          <a:ext cx="7133428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Eerste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en eindletter het zelfde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20</xdr:col>
      <xdr:colOff>611733</xdr:colOff>
      <xdr:row>69</xdr:row>
      <xdr:rowOff>168981</xdr:rowOff>
    </xdr:from>
    <xdr:ext cx="7395359" cy="781111"/>
    <xdr:sp macro="" textlink="">
      <xdr:nvSpPr>
        <xdr:cNvPr id="185" name="Rechthoek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SpPr/>
      </xdr:nvSpPr>
      <xdr:spPr>
        <a:xfrm rot="19769971">
          <a:off x="12858162" y="13313481"/>
          <a:ext cx="7395359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(stand)beeld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/ (rijks)monument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oneCellAnchor>
    <xdr:from>
      <xdr:col>12</xdr:col>
      <xdr:colOff>181181</xdr:colOff>
      <xdr:row>69</xdr:row>
      <xdr:rowOff>163285</xdr:rowOff>
    </xdr:from>
    <xdr:ext cx="4121065" cy="781111"/>
    <xdr:sp macro="" textlink="">
      <xdr:nvSpPr>
        <xdr:cNvPr id="186" name="Rechthoek 185">
          <a:extLst>
            <a:ext uri="{FF2B5EF4-FFF2-40B4-BE49-F238E27FC236}">
              <a16:creationId xmlns:a16="http://schemas.microsoft.com/office/drawing/2014/main" id="{00000000-0008-0000-0100-0000BA000000}"/>
            </a:ext>
          </a:extLst>
        </xdr:cNvPr>
        <xdr:cNvSpPr/>
      </xdr:nvSpPr>
      <xdr:spPr>
        <a:xfrm rot="1893823">
          <a:off x="7529038" y="13307785"/>
          <a:ext cx="4121065" cy="78111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nl-NL" sz="4400" b="0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Begint</a:t>
          </a:r>
          <a:r>
            <a:rPr lang="nl-NL" sz="4400" b="0" cap="none" spc="0" baseline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met een B</a:t>
          </a:r>
          <a:endParaRPr lang="nl-NL" sz="5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0</xdr:row>
          <xdr:rowOff>152400</xdr:rowOff>
        </xdr:from>
        <xdr:to>
          <xdr:col>1</xdr:col>
          <xdr:colOff>0</xdr:colOff>
          <xdr:row>2</xdr:row>
          <xdr:rowOff>47625</xdr:rowOff>
        </xdr:to>
        <xdr:sp macro="" textlink="">
          <xdr:nvSpPr>
            <xdr:cNvPr id="7170" name="Drop Dow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152400</xdr:rowOff>
        </xdr:from>
        <xdr:to>
          <xdr:col>2</xdr:col>
          <xdr:colOff>2581275</xdr:colOff>
          <xdr:row>2</xdr:row>
          <xdr:rowOff>28575</xdr:rowOff>
        </xdr:to>
        <xdr:sp macro="" textlink="">
          <xdr:nvSpPr>
            <xdr:cNvPr id="7173" name="Drop Dow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7</xdr:row>
      <xdr:rowOff>71437</xdr:rowOff>
    </xdr:from>
    <xdr:to>
      <xdr:col>15</xdr:col>
      <xdr:colOff>533400</xdr:colOff>
      <xdr:row>21</xdr:row>
      <xdr:rowOff>147637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56B9-6640-40A5-8189-FE5735FDB951}">
  <sheetPr codeName="Blad6">
    <tabColor rgb="FFFF0000"/>
  </sheetPr>
  <dimension ref="A1:T133"/>
  <sheetViews>
    <sheetView topLeftCell="A22" zoomScale="85" zoomScaleNormal="85" workbookViewId="0">
      <selection activeCell="E130" sqref="E130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bestFit="1" customWidth="1"/>
    <col min="7" max="9" width="4.85546875" bestFit="1" customWidth="1"/>
    <col min="10" max="10" width="5.28515625" bestFit="1" customWidth="1"/>
    <col min="11" max="11" width="4.5703125" customWidth="1"/>
    <col min="12" max="12" width="5.5703125" customWidth="1"/>
    <col min="13" max="13" width="32.140625" customWidth="1"/>
    <col min="14" max="14" width="30.28515625" bestFit="1" customWidth="1"/>
    <col min="15" max="15" width="28.85546875" bestFit="1" customWidth="1"/>
    <col min="16" max="16" width="31.42578125" bestFit="1" customWidth="1"/>
    <col min="17" max="17" width="13.42578125" customWidth="1"/>
    <col min="18" max="18" width="16.28515625" bestFit="1" customWidth="1"/>
  </cols>
  <sheetData>
    <row r="1" spans="1:20" x14ac:dyDescent="0.25">
      <c r="A1" s="4" t="s">
        <v>41</v>
      </c>
      <c r="B1" s="4"/>
      <c r="C1" s="4" t="s">
        <v>42</v>
      </c>
      <c r="D1" s="4" t="s">
        <v>43</v>
      </c>
      <c r="E1" s="4" t="s">
        <v>44</v>
      </c>
      <c r="F1" s="4" t="s">
        <v>45</v>
      </c>
      <c r="G1" s="4" t="s">
        <v>193</v>
      </c>
      <c r="H1" s="4" t="s">
        <v>194</v>
      </c>
      <c r="I1" s="4" t="s">
        <v>197</v>
      </c>
      <c r="J1" s="4" t="s">
        <v>198</v>
      </c>
    </row>
    <row r="2" spans="1:20" x14ac:dyDescent="0.25">
      <c r="A2" t="s">
        <v>47</v>
      </c>
      <c r="B2" s="3" t="s">
        <v>48</v>
      </c>
      <c r="C2">
        <v>39</v>
      </c>
      <c r="D2">
        <v>37</v>
      </c>
      <c r="E2">
        <v>36</v>
      </c>
      <c r="M2" t="str">
        <f>IFERROR(VLOOKUP(C2,categorieen!$D:$E,2,FALSE),"")</f>
        <v>Theater</v>
      </c>
      <c r="N2" t="str">
        <f>IFERROR(VLOOKUP(D2,categorieen!$D:$E,2,FALSE),"")</f>
        <v>s Hertogenbosch (DB)</v>
      </c>
      <c r="O2" t="str">
        <f>IFERROR(VLOOKUP(E2,categorieen!$D:$E,2,FALSE),"")</f>
        <v>Plein</v>
      </c>
      <c r="P2" t="str">
        <f>IFERROR(VLOOKUP(F2,categorieen!$D:$E,2,FALSE),"")</f>
        <v/>
      </c>
      <c r="Q2" t="str">
        <f>IFERROR(VLOOKUP(G2,categorieen!$D:$E,2,FALSE),"")</f>
        <v/>
      </c>
      <c r="R2" t="str">
        <f>IFERROR(VLOOKUP(H2,categorieen!$D:$E,2,FALSE),"")</f>
        <v/>
      </c>
      <c r="S2" t="str">
        <f>IFERROR(VLOOKUP(I2,categorieen!$D:$E,2,FALSE),"")</f>
        <v/>
      </c>
    </row>
    <row r="3" spans="1:20" x14ac:dyDescent="0.25">
      <c r="A3" t="s">
        <v>46</v>
      </c>
      <c r="B3" s="3" t="s">
        <v>74</v>
      </c>
      <c r="C3">
        <v>26</v>
      </c>
      <c r="D3">
        <v>9</v>
      </c>
      <c r="E3">
        <v>14</v>
      </c>
      <c r="M3" t="str">
        <f>IFERROR(VLOOKUP(C3,categorieen!$D:$E,2,FALSE),"")</f>
        <v>Eindigt op el</v>
      </c>
      <c r="N3" t="str">
        <f>IFERROR(VLOOKUP(D3,categorieen!$D:$E,2,FALSE),"")</f>
        <v>Kiosk</v>
      </c>
      <c r="O3" t="str">
        <f>IFERROR(VLOOKUP(E3,categorieen!$D:$E,2,FALSE),"")</f>
        <v>Kasteel</v>
      </c>
      <c r="P3" t="str">
        <f>IFERROR(VLOOKUP(F3,categorieen!$D:$E,2,FALSE),"")</f>
        <v/>
      </c>
      <c r="Q3" t="str">
        <f>IFERROR(VLOOKUP(G3,categorieen!$D:$E,2,FALSE),"")</f>
        <v/>
      </c>
      <c r="R3" t="str">
        <f>IFERROR(VLOOKUP(H3,categorieen!$D:$E,2,FALSE),"")</f>
        <v/>
      </c>
      <c r="S3" t="str">
        <f>IFERROR(VLOOKUP(I3,categorieen!$D:$E,2,FALSE),"")</f>
        <v/>
      </c>
      <c r="T3" t="str">
        <f>IFERROR(VLOOKUP(J3,categorieen!$D:$E,2,FALSE),"")</f>
        <v/>
      </c>
    </row>
    <row r="4" spans="1:20" x14ac:dyDescent="0.25">
      <c r="A4" s="2" t="s">
        <v>49</v>
      </c>
      <c r="B4" s="3" t="s">
        <v>199</v>
      </c>
      <c r="C4">
        <v>15</v>
      </c>
      <c r="D4">
        <v>8</v>
      </c>
      <c r="E4">
        <v>36</v>
      </c>
      <c r="M4" t="str">
        <f>IFERROR(VLOOKUP(C4,categorieen!$D:$E,2,FALSE),"")</f>
        <v>Getal/Cijfer</v>
      </c>
      <c r="N4" t="str">
        <f>IFERROR(VLOOKUP(D4,categorieen!$D:$E,2,FALSE),"")</f>
        <v>040 (Eindhoven)</v>
      </c>
      <c r="O4" t="str">
        <f>IFERROR(VLOOKUP(E4,categorieen!$D:$E,2,FALSE),"")</f>
        <v>Plein</v>
      </c>
      <c r="P4" t="str">
        <f>IFERROR(VLOOKUP(F4,categorieen!$D:$E,2,FALSE),"")</f>
        <v/>
      </c>
      <c r="Q4" t="str">
        <f>IFERROR(VLOOKUP(G4,categorieen!$D:$E,2,FALSE),"")</f>
        <v/>
      </c>
      <c r="R4" t="str">
        <f>IFERROR(VLOOKUP(H4,categorieen!$D:$E,2,FALSE),"")</f>
        <v/>
      </c>
      <c r="S4" t="str">
        <f>IFERROR(VLOOKUP(I4,categorieen!$D:$E,2,FALSE),"")</f>
        <v/>
      </c>
      <c r="T4" t="str">
        <f>IFERROR(VLOOKUP(J4,categorieen!$D:$E,2,FALSE),"")</f>
        <v/>
      </c>
    </row>
    <row r="5" spans="1:20" x14ac:dyDescent="0.25">
      <c r="A5" s="9" t="s">
        <v>211</v>
      </c>
      <c r="B5" s="3"/>
      <c r="C5" s="4">
        <v>5</v>
      </c>
      <c r="D5" s="4">
        <v>8</v>
      </c>
      <c r="M5" t="str">
        <f>IFERROR(VLOOKUP(C5,categorieen!$D:$E,2,FALSE),"")</f>
        <v>Bekende Brabanders</v>
      </c>
      <c r="N5" t="str">
        <f>IFERROR(VLOOKUP(D5,categorieen!$D:$E,2,FALSE),"")</f>
        <v>040 (Eindhoven)</v>
      </c>
      <c r="O5" t="str">
        <f>IFERROR(VLOOKUP(E5,categorieen!$D:$E,2,FALSE),"")</f>
        <v/>
      </c>
      <c r="P5" t="str">
        <f>IFERROR(VLOOKUP(F5,categorieen!$D:$E,2,FALSE),"")</f>
        <v/>
      </c>
      <c r="Q5" t="str">
        <f>IFERROR(VLOOKUP(G5,categorieen!$D:$E,2,FALSE),"")</f>
        <v/>
      </c>
      <c r="R5" t="str">
        <f>IFERROR(VLOOKUP(H5,categorieen!$D:$E,2,FALSE),"")</f>
        <v/>
      </c>
      <c r="S5" t="str">
        <f>IFERROR(VLOOKUP(I5,categorieen!$D:$E,2,FALSE),"")</f>
        <v/>
      </c>
      <c r="T5" t="str">
        <f>IFERROR(VLOOKUP(J5,categorieen!$D:$E,2,FALSE),"")</f>
        <v/>
      </c>
    </row>
    <row r="6" spans="1:20" x14ac:dyDescent="0.25">
      <c r="A6" t="s">
        <v>50</v>
      </c>
      <c r="B6" s="3" t="s">
        <v>200</v>
      </c>
      <c r="C6">
        <v>16</v>
      </c>
      <c r="D6">
        <v>43</v>
      </c>
      <c r="M6" t="str">
        <f>IFERROR(VLOOKUP(C6,categorieen!$D:$E,2,FALSE),"")</f>
        <v>Buurtschap</v>
      </c>
      <c r="N6" t="str">
        <f>IFERROR(VLOOKUP(D6,categorieen!$D:$E,2,FALSE),"")</f>
        <v>Dierlijk</v>
      </c>
      <c r="O6" t="str">
        <f>IFERROR(VLOOKUP(E6,categorieen!$D:$E,2,FALSE),"")</f>
        <v/>
      </c>
      <c r="P6" t="str">
        <f>IFERROR(VLOOKUP(F6,categorieen!$D:$E,2,FALSE),"")</f>
        <v/>
      </c>
      <c r="Q6" t="str">
        <f>IFERROR(VLOOKUP(G6,categorieen!$D:$E,2,FALSE),"")</f>
        <v/>
      </c>
      <c r="R6" t="str">
        <f>IFERROR(VLOOKUP(H6,categorieen!$D:$E,2,FALSE),"")</f>
        <v/>
      </c>
      <c r="S6" t="str">
        <f>IFERROR(VLOOKUP(I6,categorieen!$D:$E,2,FALSE),"")</f>
        <v/>
      </c>
      <c r="T6" t="str">
        <f>IFERROR(VLOOKUP(J6,categorieen!$D:$E,2,FALSE),"")</f>
        <v/>
      </c>
    </row>
    <row r="7" spans="1:20" x14ac:dyDescent="0.25">
      <c r="A7" t="s">
        <v>51</v>
      </c>
      <c r="B7" s="3" t="s">
        <v>201</v>
      </c>
      <c r="C7">
        <v>34</v>
      </c>
      <c r="D7">
        <v>2</v>
      </c>
      <c r="E7">
        <v>17</v>
      </c>
      <c r="F7">
        <v>14</v>
      </c>
      <c r="M7" t="str">
        <f>IFERROR(VLOOKUP(C7,categorieen!$D:$E,2,FALSE),"")</f>
        <v>Met 4 Wieken</v>
      </c>
      <c r="N7" t="str">
        <f>IFERROR(VLOOKUP(D7,categorieen!$D:$E,2,FALSE),"")</f>
        <v>(stand)beeld / (Rijks)monument</v>
      </c>
      <c r="O7" t="str">
        <f>IFERROR(VLOOKUP(E7,categorieen!$D:$E,2,FALSE),"")</f>
        <v>Met dubbel s</v>
      </c>
      <c r="P7" t="str">
        <f>IFERROR(VLOOKUP(F7,categorieen!$D:$E,2,FALSE),"")</f>
        <v>Kasteel</v>
      </c>
      <c r="Q7" t="str">
        <f>IFERROR(VLOOKUP(G7,categorieen!$D:$E,2,FALSE),"")</f>
        <v/>
      </c>
      <c r="R7" t="str">
        <f>IFERROR(VLOOKUP(H7,categorieen!$D:$E,2,FALSE),"")</f>
        <v/>
      </c>
      <c r="S7" t="str">
        <f>IFERROR(VLOOKUP(I7,categorieen!$D:$E,2,FALSE),"")</f>
        <v/>
      </c>
      <c r="T7" t="str">
        <f>IFERROR(VLOOKUP(J7,categorieen!$D:$E,2,FALSE),"")</f>
        <v/>
      </c>
    </row>
    <row r="8" spans="1:20" x14ac:dyDescent="0.25">
      <c r="A8" t="s">
        <v>52</v>
      </c>
      <c r="B8" s="3" t="s">
        <v>212</v>
      </c>
      <c r="C8">
        <v>15</v>
      </c>
      <c r="D8">
        <v>37</v>
      </c>
      <c r="E8">
        <v>8</v>
      </c>
      <c r="F8">
        <v>41</v>
      </c>
      <c r="M8" t="str">
        <f>IFERROR(VLOOKUP(C8,categorieen!$D:$E,2,FALSE),"")</f>
        <v>Getal/Cijfer</v>
      </c>
      <c r="N8" t="str">
        <f>IFERROR(VLOOKUP(D8,categorieen!$D:$E,2,FALSE),"")</f>
        <v>s Hertogenbosch (DB)</v>
      </c>
      <c r="O8" t="str">
        <f>IFERROR(VLOOKUP(E8,categorieen!$D:$E,2,FALSE),"")</f>
        <v>040 (Eindhoven)</v>
      </c>
      <c r="P8" t="str">
        <f>IFERROR(VLOOKUP(F8,categorieen!$D:$E,2,FALSE),"")</f>
        <v>Vught</v>
      </c>
      <c r="Q8" t="str">
        <f>IFERROR(VLOOKUP(G8,categorieen!$D:$E,2,FALSE),"")</f>
        <v/>
      </c>
      <c r="R8" t="str">
        <f>IFERROR(VLOOKUP(H8,categorieen!$D:$E,2,FALSE),"")</f>
        <v/>
      </c>
      <c r="S8" t="str">
        <f>IFERROR(VLOOKUP(I8,categorieen!$D:$E,2,FALSE),"")</f>
        <v/>
      </c>
      <c r="T8" t="str">
        <f>IFERROR(VLOOKUP(J8,categorieen!$D:$E,2,FALSE),"")</f>
        <v/>
      </c>
    </row>
    <row r="9" spans="1:20" x14ac:dyDescent="0.25">
      <c r="A9" t="s">
        <v>53</v>
      </c>
      <c r="B9" s="3" t="s">
        <v>202</v>
      </c>
      <c r="C9">
        <v>3</v>
      </c>
      <c r="D9">
        <v>40</v>
      </c>
      <c r="E9">
        <v>6</v>
      </c>
      <c r="F9">
        <v>43</v>
      </c>
      <c r="G9">
        <v>27</v>
      </c>
      <c r="M9" t="str">
        <f>IFERROR(VLOOKUP(C9,categorieen!$D:$E,2,FALSE),"")</f>
        <v>Begint met een B</v>
      </c>
      <c r="N9" t="str">
        <f>IFERROR(VLOOKUP(D9,categorieen!$D:$E,2,FALSE),"")</f>
        <v>Typisch Brabants (TB)</v>
      </c>
      <c r="O9" t="str">
        <f>IFERROR(VLOOKUP(E9,categorieen!$D:$E,2,FALSE),"")</f>
        <v>Met B en B</v>
      </c>
      <c r="P9" t="str">
        <f>IFERROR(VLOOKUP(F9,categorieen!$D:$E,2,FALSE),"")</f>
        <v>Dierlijk</v>
      </c>
      <c r="Q9" t="str">
        <f>IFERROR(VLOOKUP(G9,categorieen!$D:$E,2,FALSE),"")</f>
        <v>Eten en Drinken (ED)</v>
      </c>
      <c r="R9" t="str">
        <f>IFERROR(VLOOKUP(H9,categorieen!$D:$E,2,FALSE),"")</f>
        <v/>
      </c>
      <c r="S9" t="str">
        <f>IFERROR(VLOOKUP(I9,categorieen!$D:$E,2,FALSE),"")</f>
        <v/>
      </c>
      <c r="T9" t="str">
        <f>IFERROR(VLOOKUP(J9,categorieen!$D:$E,2,FALSE),"")</f>
        <v/>
      </c>
    </row>
    <row r="10" spans="1:20" x14ac:dyDescent="0.25">
      <c r="A10" t="s">
        <v>54</v>
      </c>
      <c r="B10" s="10" t="s">
        <v>203</v>
      </c>
      <c r="C10">
        <v>3</v>
      </c>
      <c r="D10">
        <v>24</v>
      </c>
      <c r="E10">
        <v>30</v>
      </c>
      <c r="M10" t="str">
        <f>IFERROR(VLOOKUP(C10,categorieen!$D:$E,2,FALSE),"")</f>
        <v>Begint met een B</v>
      </c>
      <c r="N10" t="str">
        <f>IFERROR(VLOOKUP(D10,categorieen!$D:$E,2,FALSE),"")</f>
        <v>3 of 4 letters</v>
      </c>
      <c r="O10" t="str">
        <f>IFERROR(VLOOKUP(E10,categorieen!$D:$E,2,FALSE),"")</f>
        <v>In de volksmond (IDV)</v>
      </c>
      <c r="P10" t="str">
        <f>IFERROR(VLOOKUP(F10,categorieen!$D:$E,2,FALSE),"")</f>
        <v/>
      </c>
      <c r="Q10" t="str">
        <f>IFERROR(VLOOKUP(G10,categorieen!$D:$E,2,FALSE),"")</f>
        <v/>
      </c>
      <c r="R10" t="str">
        <f>IFERROR(VLOOKUP(H10,categorieen!$D:$E,2,FALSE),"")</f>
        <v/>
      </c>
      <c r="S10" t="str">
        <f>IFERROR(VLOOKUP(I10,categorieen!$D:$E,2,FALSE),"")</f>
        <v/>
      </c>
      <c r="T10" t="str">
        <f>IFERROR(VLOOKUP(J10,categorieen!$D:$E,2,FALSE),"")</f>
        <v/>
      </c>
    </row>
    <row r="11" spans="1:20" x14ac:dyDescent="0.25">
      <c r="A11" s="7" t="s">
        <v>213</v>
      </c>
      <c r="B11" s="3" t="s">
        <v>204</v>
      </c>
      <c r="C11" s="4">
        <v>11</v>
      </c>
      <c r="D11" s="4">
        <v>3</v>
      </c>
      <c r="M11" t="str">
        <f>IFERROR(VLOOKUP(C11,categorieen!$D:$E,2,FALSE),"")</f>
        <v>Tilburg</v>
      </c>
      <c r="N11" t="str">
        <f>IFERROR(VLOOKUP(D11,categorieen!$D:$E,2,FALSE),"")</f>
        <v>Begint met een B</v>
      </c>
      <c r="O11" t="str">
        <f>IFERROR(VLOOKUP(E11,categorieen!$D:$E,2,FALSE),"")</f>
        <v/>
      </c>
      <c r="P11" t="str">
        <f>IFERROR(VLOOKUP(F11,categorieen!$D:$E,2,FALSE),"")</f>
        <v/>
      </c>
      <c r="Q11" t="str">
        <f>IFERROR(VLOOKUP(G11,categorieen!$D:$E,2,FALSE),"")</f>
        <v/>
      </c>
      <c r="R11" t="str">
        <f>IFERROR(VLOOKUP(H11,categorieen!$D:$E,2,FALSE),"")</f>
        <v/>
      </c>
      <c r="S11" t="str">
        <f>IFERROR(VLOOKUP(I11,categorieen!$D:$E,2,FALSE),"")</f>
        <v/>
      </c>
      <c r="T11" t="str">
        <f>IFERROR(VLOOKUP(J11,categorieen!$D:$E,2,FALSE),"")</f>
        <v/>
      </c>
    </row>
    <row r="12" spans="1:20" s="4" customFormat="1" x14ac:dyDescent="0.25">
      <c r="A12" s="8" t="s">
        <v>183</v>
      </c>
      <c r="B12" s="5"/>
      <c r="C12" s="4">
        <v>6</v>
      </c>
      <c r="D12" s="6">
        <v>29</v>
      </c>
      <c r="E12" s="6">
        <v>3</v>
      </c>
      <c r="F12" s="6">
        <v>43</v>
      </c>
      <c r="G12" s="4">
        <v>11</v>
      </c>
      <c r="M12" t="str">
        <f>IFERROR(VLOOKUP(C12,categorieen!$D:$E,2,FALSE),"")</f>
        <v>Met B en B</v>
      </c>
      <c r="N12" t="str">
        <f>IFERROR(VLOOKUP(D12,categorieen!$D:$E,2,FALSE),"")</f>
        <v>Hilvarenbeek</v>
      </c>
      <c r="O12" t="str">
        <f>IFERROR(VLOOKUP(E12,categorieen!$D:$E,2,FALSE),"")</f>
        <v>Begint met een B</v>
      </c>
      <c r="P12" t="str">
        <f>IFERROR(VLOOKUP(F12,categorieen!$D:$E,2,FALSE),"")</f>
        <v>Dierlijk</v>
      </c>
      <c r="Q12" t="str">
        <f>IFERROR(VLOOKUP(G12,categorieen!$D:$E,2,FALSE),"")</f>
        <v>Tilburg</v>
      </c>
      <c r="R12" t="str">
        <f>IFERROR(VLOOKUP(H12,categorieen!$D:$E,2,FALSE),"")</f>
        <v/>
      </c>
      <c r="S12" t="str">
        <f>IFERROR(VLOOKUP(I12,categorieen!$D:$E,2,FALSE),"")</f>
        <v/>
      </c>
      <c r="T12" t="str">
        <f>IFERROR(VLOOKUP(J12,categorieen!$D:$E,2,FALSE),"")</f>
        <v/>
      </c>
    </row>
    <row r="13" spans="1:20" x14ac:dyDescent="0.25">
      <c r="A13" t="s">
        <v>55</v>
      </c>
      <c r="B13" s="3"/>
      <c r="C13">
        <v>12</v>
      </c>
      <c r="D13" s="6">
        <v>3</v>
      </c>
      <c r="E13" s="6">
        <v>19</v>
      </c>
      <c r="F13" s="6">
        <v>4</v>
      </c>
      <c r="G13" s="6">
        <v>27</v>
      </c>
      <c r="M13" t="str">
        <f>IFERROR(VLOOKUP(C13,categorieen!$D:$E,2,FALSE),"")</f>
        <v>Water</v>
      </c>
      <c r="N13" t="str">
        <f>IFERROR(VLOOKUP(D13,categorieen!$D:$E,2,FALSE),"")</f>
        <v>Begint met een B</v>
      </c>
      <c r="O13" t="str">
        <f>IFERROR(VLOOKUP(E13,categorieen!$D:$E,2,FALSE),"")</f>
        <v>Natuur</v>
      </c>
      <c r="P13" t="str">
        <f>IFERROR(VLOOKUP(F13,categorieen!$D:$E,2,FALSE),"")</f>
        <v>Zes letters</v>
      </c>
      <c r="Q13" t="str">
        <f>IFERROR(VLOOKUP(G13,categorieen!$D:$E,2,FALSE),"")</f>
        <v>Eten en Drinken (ED)</v>
      </c>
      <c r="R13" t="str">
        <f>IFERROR(VLOOKUP(H13,categorieen!$D:$E,2,FALSE),"")</f>
        <v/>
      </c>
      <c r="S13" t="str">
        <f>IFERROR(VLOOKUP(I13,categorieen!$D:$E,2,FALSE),"")</f>
        <v/>
      </c>
      <c r="T13" t="str">
        <f>IFERROR(VLOOKUP(J13,categorieen!$D:$E,2,FALSE),"")</f>
        <v/>
      </c>
    </row>
    <row r="14" spans="1:20" x14ac:dyDescent="0.25">
      <c r="A14" t="s">
        <v>56</v>
      </c>
      <c r="B14" s="3"/>
      <c r="C14">
        <v>3</v>
      </c>
      <c r="D14" s="6">
        <v>4</v>
      </c>
      <c r="E14" s="6">
        <v>30</v>
      </c>
      <c r="F14" s="6">
        <v>40</v>
      </c>
      <c r="M14" t="str">
        <f>IFERROR(VLOOKUP(C14,categorieen!$D:$E,2,FALSE),"")</f>
        <v>Begint met een B</v>
      </c>
      <c r="N14" t="str">
        <f>IFERROR(VLOOKUP(D14,categorieen!$D:$E,2,FALSE),"")</f>
        <v>Zes letters</v>
      </c>
      <c r="O14" t="str">
        <f>IFERROR(VLOOKUP(E14,categorieen!$D:$E,2,FALSE),"")</f>
        <v>In de volksmond (IDV)</v>
      </c>
      <c r="P14" t="str">
        <f>IFERROR(VLOOKUP(F14,categorieen!$D:$E,2,FALSE),"")</f>
        <v>Typisch Brabants (TB)</v>
      </c>
      <c r="Q14" t="str">
        <f>IFERROR(VLOOKUP(G14,categorieen!$D:$E,2,FALSE),"")</f>
        <v/>
      </c>
      <c r="R14" t="str">
        <f>IFERROR(VLOOKUP(H14,categorieen!$D:$E,2,FALSE),"")</f>
        <v/>
      </c>
      <c r="S14" t="str">
        <f>IFERROR(VLOOKUP(I14,categorieen!$D:$E,2,FALSE),"")</f>
        <v/>
      </c>
      <c r="T14" t="str">
        <f>IFERROR(VLOOKUP(J14,categorieen!$D:$E,2,FALSE),"")</f>
        <v/>
      </c>
    </row>
    <row r="15" spans="1:20" x14ac:dyDescent="0.25">
      <c r="A15" t="s">
        <v>57</v>
      </c>
      <c r="B15" s="3"/>
      <c r="C15">
        <v>21</v>
      </c>
      <c r="D15">
        <v>3</v>
      </c>
      <c r="E15">
        <v>22</v>
      </c>
      <c r="M15" t="str">
        <f>IFERROR(VLOOKUP(C15,categorieen!$D:$E,2,FALSE),"")</f>
        <v>West Brabant</v>
      </c>
      <c r="N15" t="str">
        <f>IFERROR(VLOOKUP(D15,categorieen!$D:$E,2,FALSE),"")</f>
        <v>Begint met een B</v>
      </c>
      <c r="O15" t="str">
        <f>IFERROR(VLOOKUP(E15,categorieen!$D:$E,2,FALSE),"")</f>
        <v>3x dezelfde letter</v>
      </c>
      <c r="P15" t="str">
        <f>IFERROR(VLOOKUP(F15,categorieen!$D:$E,2,FALSE),"")</f>
        <v/>
      </c>
      <c r="Q15" t="str">
        <f>IFERROR(VLOOKUP(G15,categorieen!$D:$E,2,FALSE),"")</f>
        <v/>
      </c>
      <c r="R15" t="str">
        <f>IFERROR(VLOOKUP(H15,categorieen!$D:$E,2,FALSE),"")</f>
        <v/>
      </c>
      <c r="S15" t="str">
        <f>IFERROR(VLOOKUP(I15,categorieen!$D:$E,2,FALSE),"")</f>
        <v/>
      </c>
      <c r="T15" t="str">
        <f>IFERROR(VLOOKUP(J15,categorieen!$D:$E,2,FALSE),"")</f>
        <v/>
      </c>
    </row>
    <row r="16" spans="1:20" x14ac:dyDescent="0.25">
      <c r="A16" s="7" t="s">
        <v>182</v>
      </c>
      <c r="B16" s="3"/>
      <c r="C16" s="4">
        <v>3</v>
      </c>
      <c r="D16" s="4">
        <v>12</v>
      </c>
      <c r="M16" t="str">
        <f>IFERROR(VLOOKUP(C16,categorieen!$D:$E,2,FALSE),"")</f>
        <v>Begint met een B</v>
      </c>
      <c r="N16" t="str">
        <f>IFERROR(VLOOKUP(D16,categorieen!$D:$E,2,FALSE),"")</f>
        <v>Water</v>
      </c>
      <c r="O16" t="str">
        <f>IFERROR(VLOOKUP(E16,categorieen!$D:$E,2,FALSE),"")</f>
        <v/>
      </c>
      <c r="P16" t="str">
        <f>IFERROR(VLOOKUP(F16,categorieen!$D:$E,2,FALSE),"")</f>
        <v/>
      </c>
      <c r="Q16" t="str">
        <f>IFERROR(VLOOKUP(G16,categorieen!$D:$E,2,FALSE),"")</f>
        <v/>
      </c>
      <c r="R16" t="str">
        <f>IFERROR(VLOOKUP(H16,categorieen!$D:$E,2,FALSE),"")</f>
        <v/>
      </c>
      <c r="S16" t="str">
        <f>IFERROR(VLOOKUP(I16,categorieen!$D:$E,2,FALSE),"")</f>
        <v/>
      </c>
      <c r="T16" t="str">
        <f>IFERROR(VLOOKUP(J16,categorieen!$D:$E,2,FALSE),"")</f>
        <v/>
      </c>
    </row>
    <row r="17" spans="1:20" x14ac:dyDescent="0.25">
      <c r="A17" t="s">
        <v>58</v>
      </c>
      <c r="B17" s="3"/>
      <c r="C17">
        <v>24</v>
      </c>
      <c r="D17">
        <v>3</v>
      </c>
      <c r="E17">
        <v>1</v>
      </c>
      <c r="F17">
        <v>32</v>
      </c>
      <c r="G17">
        <v>6</v>
      </c>
      <c r="H17">
        <v>40</v>
      </c>
      <c r="M17" t="str">
        <f>IFERROR(VLOOKUP(C17,categorieen!$D:$E,2,FALSE),"")</f>
        <v>3 of 4 letters</v>
      </c>
      <c r="N17" t="str">
        <f>IFERROR(VLOOKUP(D17,categorieen!$D:$E,2,FALSE),"")</f>
        <v>Begint met een B</v>
      </c>
      <c r="O17" t="str">
        <f>IFERROR(VLOOKUP(E17,categorieen!$D:$E,2,FALSE),"")</f>
        <v>Eerste- en Eindletter hetzelfde</v>
      </c>
      <c r="P17" t="str">
        <f>IFERROR(VLOOKUP(F17,categorieen!$D:$E,2,FALSE),"")</f>
        <v>Met ie</v>
      </c>
      <c r="Q17" t="str">
        <f>IFERROR(VLOOKUP(G17,categorieen!$D:$E,2,FALSE),"")</f>
        <v>Met B en B</v>
      </c>
      <c r="R17" t="str">
        <f>IFERROR(VLOOKUP(H17,categorieen!$D:$E,2,FALSE),"")</f>
        <v>Typisch Brabants (TB)</v>
      </c>
      <c r="S17" t="str">
        <f>IFERROR(VLOOKUP(I17,categorieen!$D:$E,2,FALSE),"")</f>
        <v/>
      </c>
      <c r="T17" t="str">
        <f>IFERROR(VLOOKUP(J17,categorieen!$D:$E,2,FALSE),"")</f>
        <v/>
      </c>
    </row>
    <row r="18" spans="1:20" x14ac:dyDescent="0.25">
      <c r="A18" t="s">
        <v>59</v>
      </c>
      <c r="B18" s="3"/>
      <c r="C18">
        <v>32</v>
      </c>
      <c r="D18">
        <v>29</v>
      </c>
      <c r="E18">
        <v>3</v>
      </c>
      <c r="M18" t="str">
        <f>IFERROR(VLOOKUP(C18,categorieen!$D:$E,2,FALSE),"")</f>
        <v>Met ie</v>
      </c>
      <c r="N18" t="str">
        <f>IFERROR(VLOOKUP(D18,categorieen!$D:$E,2,FALSE),"")</f>
        <v>Hilvarenbeek</v>
      </c>
      <c r="O18" t="str">
        <f>IFERROR(VLOOKUP(E18,categorieen!$D:$E,2,FALSE),"")</f>
        <v>Begint met een B</v>
      </c>
      <c r="P18" t="str">
        <f>IFERROR(VLOOKUP(F18,categorieen!$D:$E,2,FALSE),"")</f>
        <v/>
      </c>
      <c r="Q18" t="str">
        <f>IFERROR(VLOOKUP(G18,categorieen!$D:$E,2,FALSE),"")</f>
        <v/>
      </c>
      <c r="R18" t="str">
        <f>IFERROR(VLOOKUP(H18,categorieen!$D:$E,2,FALSE),"")</f>
        <v/>
      </c>
      <c r="S18" t="str">
        <f>IFERROR(VLOOKUP(I18,categorieen!$D:$E,2,FALSE),"")</f>
        <v/>
      </c>
      <c r="T18" t="str">
        <f>IFERROR(VLOOKUP(J18,categorieen!$D:$E,2,FALSE),"")</f>
        <v/>
      </c>
    </row>
    <row r="19" spans="1:20" x14ac:dyDescent="0.25">
      <c r="A19" s="7" t="s">
        <v>184</v>
      </c>
      <c r="B19" s="3"/>
      <c r="C19" s="4">
        <v>6</v>
      </c>
      <c r="D19" s="4">
        <v>19</v>
      </c>
      <c r="M19" t="str">
        <f>IFERROR(VLOOKUP(C19,categorieen!$D:$E,2,FALSE),"")</f>
        <v>Met B en B</v>
      </c>
      <c r="N19" t="str">
        <f>IFERROR(VLOOKUP(D19,categorieen!$D:$E,2,FALSE),"")</f>
        <v>Natuur</v>
      </c>
      <c r="O19" t="str">
        <f>IFERROR(VLOOKUP(E19,categorieen!$D:$E,2,FALSE),"")</f>
        <v/>
      </c>
      <c r="P19" t="str">
        <f>IFERROR(VLOOKUP(F19,categorieen!$D:$E,2,FALSE),"")</f>
        <v/>
      </c>
      <c r="Q19" t="str">
        <f>IFERROR(VLOOKUP(G19,categorieen!$D:$E,2,FALSE),"")</f>
        <v/>
      </c>
      <c r="R19" t="str">
        <f>IFERROR(VLOOKUP(H19,categorieen!$D:$E,2,FALSE),"")</f>
        <v/>
      </c>
      <c r="S19" t="str">
        <f>IFERROR(VLOOKUP(I19,categorieen!$D:$E,2,FALSE),"")</f>
        <v/>
      </c>
      <c r="T19" t="str">
        <f>IFERROR(VLOOKUP(J19,categorieen!$D:$E,2,FALSE),"")</f>
        <v/>
      </c>
    </row>
    <row r="20" spans="1:20" x14ac:dyDescent="0.25">
      <c r="A20" t="s">
        <v>61</v>
      </c>
      <c r="B20" s="3" t="s">
        <v>192</v>
      </c>
      <c r="C20">
        <v>6</v>
      </c>
      <c r="D20">
        <v>38</v>
      </c>
      <c r="E20">
        <v>3</v>
      </c>
      <c r="F20">
        <v>32</v>
      </c>
      <c r="G20">
        <v>29</v>
      </c>
      <c r="M20" t="str">
        <f>IFERROR(VLOOKUP(C20,categorieen!$D:$E,2,FALSE),"")</f>
        <v>Met B en B</v>
      </c>
      <c r="N20" t="str">
        <f>IFERROR(VLOOKUP(D20,categorieen!$D:$E,2,FALSE),"")</f>
        <v>Sport</v>
      </c>
      <c r="O20" t="str">
        <f>IFERROR(VLOOKUP(E20,categorieen!$D:$E,2,FALSE),"")</f>
        <v>Begint met een B</v>
      </c>
      <c r="P20" t="str">
        <f>IFERROR(VLOOKUP(F20,categorieen!$D:$E,2,FALSE),"")</f>
        <v>Met ie</v>
      </c>
      <c r="Q20" t="str">
        <f>IFERROR(VLOOKUP(G20,categorieen!$D:$E,2,FALSE),"")</f>
        <v>Hilvarenbeek</v>
      </c>
      <c r="R20" t="str">
        <f>IFERROR(VLOOKUP(H20,categorieen!$D:$E,2,FALSE),"")</f>
        <v/>
      </c>
      <c r="S20" t="str">
        <f>IFERROR(VLOOKUP(I20,categorieen!$D:$E,2,FALSE),"")</f>
        <v/>
      </c>
      <c r="T20" t="str">
        <f>IFERROR(VLOOKUP(J20,categorieen!$D:$E,2,FALSE),"")</f>
        <v/>
      </c>
    </row>
    <row r="21" spans="1:20" x14ac:dyDescent="0.25">
      <c r="A21" t="s">
        <v>60</v>
      </c>
      <c r="B21" s="3"/>
      <c r="C21">
        <v>3</v>
      </c>
      <c r="D21">
        <v>12</v>
      </c>
      <c r="E21">
        <v>19</v>
      </c>
      <c r="F21">
        <v>32</v>
      </c>
      <c r="G21">
        <v>37</v>
      </c>
      <c r="M21" t="str">
        <f>IFERROR(VLOOKUP(C21,categorieen!$D:$E,2,FALSE),"")</f>
        <v>Begint met een B</v>
      </c>
      <c r="N21" t="str">
        <f>IFERROR(VLOOKUP(D21,categorieen!$D:$E,2,FALSE),"")</f>
        <v>Water</v>
      </c>
      <c r="O21" t="str">
        <f>IFERROR(VLOOKUP(E21,categorieen!$D:$E,2,FALSE),"")</f>
        <v>Natuur</v>
      </c>
      <c r="P21" t="str">
        <f>IFERROR(VLOOKUP(F21,categorieen!$D:$E,2,FALSE),"")</f>
        <v>Met ie</v>
      </c>
      <c r="Q21" t="str">
        <f>IFERROR(VLOOKUP(G21,categorieen!$D:$E,2,FALSE),"")</f>
        <v>s Hertogenbosch (DB)</v>
      </c>
      <c r="R21" t="str">
        <f>IFERROR(VLOOKUP(H21,categorieen!$D:$E,2,FALSE),"")</f>
        <v/>
      </c>
      <c r="S21" t="str">
        <f>IFERROR(VLOOKUP(I21,categorieen!$D:$E,2,FALSE),"")</f>
        <v/>
      </c>
      <c r="T21" t="str">
        <f>IFERROR(VLOOKUP(J21,categorieen!$D:$E,2,FALSE),"")</f>
        <v/>
      </c>
    </row>
    <row r="22" spans="1:20" x14ac:dyDescent="0.25">
      <c r="A22" t="s">
        <v>62</v>
      </c>
      <c r="B22" s="3"/>
      <c r="C22">
        <v>3</v>
      </c>
      <c r="D22">
        <v>4</v>
      </c>
      <c r="E22">
        <v>27</v>
      </c>
      <c r="M22" t="str">
        <f>IFERROR(VLOOKUP(C22,categorieen!$D:$E,2,FALSE),"")</f>
        <v>Begint met een B</v>
      </c>
      <c r="N22" t="str">
        <f>IFERROR(VLOOKUP(D22,categorieen!$D:$E,2,FALSE),"")</f>
        <v>Zes letters</v>
      </c>
      <c r="O22" t="str">
        <f>IFERROR(VLOOKUP(E22,categorieen!$D:$E,2,FALSE),"")</f>
        <v>Eten en Drinken (ED)</v>
      </c>
      <c r="P22" t="str">
        <f>IFERROR(VLOOKUP(F22,categorieen!$D:$E,2,FALSE),"")</f>
        <v/>
      </c>
      <c r="Q22" t="str">
        <f>IFERROR(VLOOKUP(G22,categorieen!$D:$E,2,FALSE),"")</f>
        <v/>
      </c>
      <c r="R22" t="str">
        <f>IFERROR(VLOOKUP(H22,categorieen!$D:$E,2,FALSE),"")</f>
        <v/>
      </c>
      <c r="S22" t="str">
        <f>IFERROR(VLOOKUP(I22,categorieen!$D:$E,2,FALSE),"")</f>
        <v/>
      </c>
      <c r="T22" t="str">
        <f>IFERROR(VLOOKUP(J22,categorieen!$D:$E,2,FALSE),"")</f>
        <v/>
      </c>
    </row>
    <row r="23" spans="1:20" x14ac:dyDescent="0.25">
      <c r="A23" s="4" t="s">
        <v>190</v>
      </c>
      <c r="B23" s="3"/>
      <c r="C23" s="4">
        <v>22</v>
      </c>
      <c r="D23" s="4">
        <v>2</v>
      </c>
      <c r="E23">
        <v>17</v>
      </c>
      <c r="F23" s="4">
        <v>3</v>
      </c>
      <c r="G23" s="4">
        <v>29</v>
      </c>
      <c r="M23" t="str">
        <f>IFERROR(VLOOKUP(C23,categorieen!$D:$E,2,FALSE),"")</f>
        <v>3x dezelfde letter</v>
      </c>
      <c r="N23" t="str">
        <f>IFERROR(VLOOKUP(D23,categorieen!$D:$E,2,FALSE),"")</f>
        <v>(stand)beeld / (Rijks)monument</v>
      </c>
      <c r="O23" t="str">
        <f>IFERROR(VLOOKUP(E23,categorieen!$D:$E,2,FALSE),"")</f>
        <v>Met dubbel s</v>
      </c>
      <c r="P23" t="str">
        <f>IFERROR(VLOOKUP(F23,categorieen!$D:$E,2,FALSE),"")</f>
        <v>Begint met een B</v>
      </c>
      <c r="Q23" t="str">
        <f>IFERROR(VLOOKUP(G23,categorieen!$D:$E,2,FALSE),"")</f>
        <v>Hilvarenbeek</v>
      </c>
      <c r="R23" t="str">
        <f>IFERROR(VLOOKUP(H23,categorieen!$D:$E,2,FALSE),"")</f>
        <v/>
      </c>
      <c r="S23" t="str">
        <f>IFERROR(VLOOKUP(I23,categorieen!$D:$E,2,FALSE),"")</f>
        <v/>
      </c>
      <c r="T23" t="str">
        <f>IFERROR(VLOOKUP(J23,categorieen!$D:$E,2,FALSE),"")</f>
        <v/>
      </c>
    </row>
    <row r="24" spans="1:20" x14ac:dyDescent="0.25">
      <c r="A24" t="s">
        <v>63</v>
      </c>
      <c r="B24" s="3" t="s">
        <v>195</v>
      </c>
      <c r="C24">
        <v>6</v>
      </c>
      <c r="D24">
        <v>3</v>
      </c>
      <c r="E24">
        <v>19</v>
      </c>
      <c r="F24">
        <v>37</v>
      </c>
      <c r="M24" t="str">
        <f>IFERROR(VLOOKUP(C24,categorieen!$D:$E,2,FALSE),"")</f>
        <v>Met B en B</v>
      </c>
      <c r="N24" t="str">
        <f>IFERROR(VLOOKUP(D24,categorieen!$D:$E,2,FALSE),"")</f>
        <v>Begint met een B</v>
      </c>
      <c r="O24" t="str">
        <f>IFERROR(VLOOKUP(E24,categorieen!$D:$E,2,FALSE),"")</f>
        <v>Natuur</v>
      </c>
      <c r="P24" t="str">
        <f>IFERROR(VLOOKUP(F24,categorieen!$D:$E,2,FALSE),"")</f>
        <v>s Hertogenbosch (DB)</v>
      </c>
      <c r="Q24" t="str">
        <f>IFERROR(VLOOKUP(G24,categorieen!$D:$E,2,FALSE),"")</f>
        <v/>
      </c>
      <c r="R24" t="str">
        <f>IFERROR(VLOOKUP(H24,categorieen!$D:$E,2,FALSE),"")</f>
        <v/>
      </c>
      <c r="S24" t="str">
        <f>IFERROR(VLOOKUP(I24,categorieen!$D:$E,2,FALSE),"")</f>
        <v/>
      </c>
      <c r="T24" t="str">
        <f>IFERROR(VLOOKUP(J24,categorieen!$D:$E,2,FALSE),"")</f>
        <v/>
      </c>
    </row>
    <row r="25" spans="1:20" x14ac:dyDescent="0.25">
      <c r="A25" t="s">
        <v>64</v>
      </c>
      <c r="B25" s="3" t="s">
        <v>14</v>
      </c>
      <c r="C25">
        <v>14</v>
      </c>
      <c r="D25">
        <v>3</v>
      </c>
      <c r="E25">
        <v>19</v>
      </c>
      <c r="M25" t="str">
        <f>IFERROR(VLOOKUP(C25,categorieen!$D:$E,2,FALSE),"")</f>
        <v>Kasteel</v>
      </c>
      <c r="N25" t="str">
        <f>IFERROR(VLOOKUP(D25,categorieen!$D:$E,2,FALSE),"")</f>
        <v>Begint met een B</v>
      </c>
      <c r="O25" t="str">
        <f>IFERROR(VLOOKUP(E25,categorieen!$D:$E,2,FALSE),"")</f>
        <v>Natuur</v>
      </c>
      <c r="P25" t="str">
        <f>IFERROR(VLOOKUP(F25,categorieen!$D:$E,2,FALSE),"")</f>
        <v/>
      </c>
      <c r="Q25" t="str">
        <f>IFERROR(VLOOKUP(G25,categorieen!$D:$E,2,FALSE),"")</f>
        <v/>
      </c>
      <c r="R25" t="str">
        <f>IFERROR(VLOOKUP(H25,categorieen!$D:$E,2,FALSE),"")</f>
        <v/>
      </c>
      <c r="S25" t="str">
        <f>IFERROR(VLOOKUP(I25,categorieen!$D:$E,2,FALSE),"")</f>
        <v/>
      </c>
      <c r="T25" t="str">
        <f>IFERROR(VLOOKUP(J25,categorieen!$D:$E,2,FALSE),"")</f>
        <v/>
      </c>
    </row>
    <row r="26" spans="1:20" x14ac:dyDescent="0.25">
      <c r="A26" s="4" t="s">
        <v>189</v>
      </c>
      <c r="B26" s="3" t="s">
        <v>196</v>
      </c>
      <c r="C26" s="4">
        <v>6</v>
      </c>
      <c r="D26">
        <v>5</v>
      </c>
      <c r="E26">
        <v>11</v>
      </c>
      <c r="F26">
        <v>38</v>
      </c>
      <c r="G26" s="4">
        <v>18</v>
      </c>
      <c r="H26">
        <v>3</v>
      </c>
      <c r="M26" s="4" t="str">
        <f>IFERROR(VLOOKUP(C26,categorieen!$D:$E,2,FALSE),"")</f>
        <v>Met B en B</v>
      </c>
      <c r="N26" t="str">
        <f>IFERROR(VLOOKUP(D26,categorieen!$D:$E,2,FALSE),"")</f>
        <v>Bekende Brabanders</v>
      </c>
      <c r="O26" t="str">
        <f>IFERROR(VLOOKUP(E26,categorieen!$D:$E,2,FALSE),"")</f>
        <v>Tilburg</v>
      </c>
      <c r="P26" t="str">
        <f>IFERROR(VLOOKUP(F26,categorieen!$D:$E,2,FALSE),"")</f>
        <v>Sport</v>
      </c>
      <c r="Q26" t="str">
        <f>IFERROR(VLOOKUP(G26,categorieen!$D:$E,2,FALSE),"")</f>
        <v>Willem II</v>
      </c>
      <c r="R26" t="str">
        <f>IFERROR(VLOOKUP(H26,categorieen!$D:$E,2,FALSE),"")</f>
        <v>Begint met een B</v>
      </c>
      <c r="S26" t="str">
        <f>IFERROR(VLOOKUP(I26,categorieen!$D:$E,2,FALSE),"")</f>
        <v/>
      </c>
      <c r="T26" t="str">
        <f>IFERROR(VLOOKUP(J26,categorieen!$D:$E,2,FALSE),"")</f>
        <v/>
      </c>
    </row>
    <row r="27" spans="1:20" x14ac:dyDescent="0.25">
      <c r="A27" t="s">
        <v>65</v>
      </c>
      <c r="B27" s="3"/>
      <c r="C27">
        <v>8</v>
      </c>
      <c r="D27">
        <v>3</v>
      </c>
      <c r="E27">
        <v>14</v>
      </c>
      <c r="M27" t="str">
        <f>IFERROR(VLOOKUP(C27,categorieen!$D:$E,2,FALSE),"")</f>
        <v>040 (Eindhoven)</v>
      </c>
      <c r="N27" t="str">
        <f>IFERROR(VLOOKUP(D27,categorieen!$D:$E,2,FALSE),"")</f>
        <v>Begint met een B</v>
      </c>
      <c r="O27" t="str">
        <f>IFERROR(VLOOKUP(E27,categorieen!$D:$E,2,FALSE),"")</f>
        <v>Kasteel</v>
      </c>
      <c r="P27" t="str">
        <f>IFERROR(VLOOKUP(F27,categorieen!$D:$E,2,FALSE),"")</f>
        <v/>
      </c>
      <c r="Q27" t="str">
        <f>IFERROR(VLOOKUP(G27,categorieen!$D:$E,2,FALSE),"")</f>
        <v/>
      </c>
      <c r="R27" t="str">
        <f>IFERROR(VLOOKUP(H27,categorieen!$D:$E,2,FALSE),"")</f>
        <v/>
      </c>
      <c r="S27" t="str">
        <f>IFERROR(VLOOKUP(I27,categorieen!$D:$E,2,FALSE),"")</f>
        <v/>
      </c>
      <c r="T27" t="str">
        <f>IFERROR(VLOOKUP(J27,categorieen!$D:$E,2,FALSE),"")</f>
        <v/>
      </c>
    </row>
    <row r="28" spans="1:20" x14ac:dyDescent="0.25">
      <c r="A28" s="4" t="s">
        <v>66</v>
      </c>
      <c r="B28" s="3"/>
      <c r="C28" s="4">
        <v>6</v>
      </c>
      <c r="D28" s="4">
        <v>5</v>
      </c>
      <c r="E28">
        <v>11</v>
      </c>
      <c r="F28">
        <v>38</v>
      </c>
      <c r="G28" s="4">
        <v>18</v>
      </c>
      <c r="H28">
        <v>3</v>
      </c>
      <c r="M28" t="str">
        <f>IFERROR(VLOOKUP(C28,categorieen!$D:$E,2,FALSE),"")</f>
        <v>Met B en B</v>
      </c>
      <c r="N28" t="str">
        <f>IFERROR(VLOOKUP(D28,categorieen!$D:$E,2,FALSE),"")</f>
        <v>Bekende Brabanders</v>
      </c>
      <c r="O28" t="str">
        <f>IFERROR(VLOOKUP(E28,categorieen!$D:$E,2,FALSE),"")</f>
        <v>Tilburg</v>
      </c>
      <c r="P28" t="str">
        <f>IFERROR(VLOOKUP(F28,categorieen!$D:$E,2,FALSE),"")</f>
        <v>Sport</v>
      </c>
      <c r="Q28" t="str">
        <f>IFERROR(VLOOKUP(G28,categorieen!$D:$E,2,FALSE),"")</f>
        <v>Willem II</v>
      </c>
      <c r="R28" t="str">
        <f>IFERROR(VLOOKUP(H28,categorieen!$D:$E,2,FALSE),"")</f>
        <v>Begint met een B</v>
      </c>
      <c r="S28" t="str">
        <f>IFERROR(VLOOKUP(I28,categorieen!$D:$E,2,FALSE),"")</f>
        <v/>
      </c>
      <c r="T28" t="str">
        <f>IFERROR(VLOOKUP(J28,categorieen!$D:$E,2,FALSE),"")</f>
        <v/>
      </c>
    </row>
    <row r="29" spans="1:20" x14ac:dyDescent="0.25">
      <c r="A29" t="s">
        <v>67</v>
      </c>
      <c r="B29" s="3"/>
      <c r="C29">
        <v>32</v>
      </c>
      <c r="D29">
        <v>19</v>
      </c>
      <c r="E29">
        <v>12</v>
      </c>
      <c r="M29" t="str">
        <f>IFERROR(VLOOKUP(C29,categorieen!$D:$E,2,FALSE),"")</f>
        <v>Met ie</v>
      </c>
      <c r="N29" t="str">
        <f>IFERROR(VLOOKUP(D29,categorieen!$D:$E,2,FALSE),"")</f>
        <v>Natuur</v>
      </c>
      <c r="O29" t="str">
        <f>IFERROR(VLOOKUP(E29,categorieen!$D:$E,2,FALSE),"")</f>
        <v>Water</v>
      </c>
      <c r="P29" t="str">
        <f>IFERROR(VLOOKUP(F29,categorieen!$D:$E,2,FALSE),"")</f>
        <v/>
      </c>
      <c r="Q29" t="str">
        <f>IFERROR(VLOOKUP(G29,categorieen!$D:$E,2,FALSE),"")</f>
        <v/>
      </c>
      <c r="R29" t="str">
        <f>IFERROR(VLOOKUP(H29,categorieen!$D:$E,2,FALSE),"")</f>
        <v/>
      </c>
      <c r="S29" t="str">
        <f>IFERROR(VLOOKUP(I29,categorieen!$D:$E,2,FALSE),"")</f>
        <v/>
      </c>
      <c r="T29" t="str">
        <f>IFERROR(VLOOKUP(J29,categorieen!$D:$E,2,FALSE),"")</f>
        <v/>
      </c>
    </row>
    <row r="30" spans="1:20" ht="30" customHeight="1" x14ac:dyDescent="0.25">
      <c r="A30" t="s">
        <v>68</v>
      </c>
      <c r="B30" s="3" t="s">
        <v>75</v>
      </c>
      <c r="C30">
        <v>39</v>
      </c>
      <c r="D30">
        <v>33</v>
      </c>
      <c r="E30">
        <v>21</v>
      </c>
      <c r="F30">
        <v>4</v>
      </c>
      <c r="G30">
        <v>5</v>
      </c>
      <c r="H30">
        <v>17</v>
      </c>
      <c r="M30" t="str">
        <f>IFERROR(VLOOKUP(C30,categorieen!$D:$E,2,FALSE),"")</f>
        <v>Theater</v>
      </c>
      <c r="N30" t="str">
        <f>IFERROR(VLOOKUP(D30,categorieen!$D:$E,2,FALSE),"")</f>
        <v>076 (Breda)</v>
      </c>
      <c r="O30" t="str">
        <f>IFERROR(VLOOKUP(E30,categorieen!$D:$E,2,FALSE),"")</f>
        <v>West Brabant</v>
      </c>
      <c r="P30" t="str">
        <f>IFERROR(VLOOKUP(F30,categorieen!$D:$E,2,FALSE),"")</f>
        <v>Zes letters</v>
      </c>
      <c r="Q30" t="str">
        <f>IFERROR(VLOOKUP(G30,categorieen!$D:$E,2,FALSE),"")</f>
        <v>Bekende Brabanders</v>
      </c>
      <c r="R30" t="str">
        <f>IFERROR(VLOOKUP(H30,categorieen!$D:$E,2,FALSE),"")</f>
        <v>Met dubbel s</v>
      </c>
      <c r="S30" t="str">
        <f>IFERROR(VLOOKUP(I30,categorieen!$D:$E,2,FALSE),"")</f>
        <v/>
      </c>
      <c r="T30" t="str">
        <f>IFERROR(VLOOKUP(J30,categorieen!$D:$E,2,FALSE),"")</f>
        <v/>
      </c>
    </row>
    <row r="31" spans="1:20" x14ac:dyDescent="0.25">
      <c r="A31" t="s">
        <v>69</v>
      </c>
      <c r="B31" s="3"/>
      <c r="C31">
        <v>22</v>
      </c>
      <c r="D31">
        <v>14</v>
      </c>
      <c r="E31">
        <v>27</v>
      </c>
      <c r="F31">
        <v>2</v>
      </c>
      <c r="M31" t="str">
        <f>IFERROR(VLOOKUP(C31,categorieen!$D:$E,2,FALSE),"")</f>
        <v>3x dezelfde letter</v>
      </c>
      <c r="N31" t="str">
        <f>IFERROR(VLOOKUP(D31,categorieen!$D:$E,2,FALSE),"")</f>
        <v>Kasteel</v>
      </c>
      <c r="O31" t="str">
        <f>IFERROR(VLOOKUP(E31,categorieen!$D:$E,2,FALSE),"")</f>
        <v>Eten en Drinken (ED)</v>
      </c>
      <c r="P31" t="str">
        <f>IFERROR(VLOOKUP(F31,categorieen!$D:$E,2,FALSE),"")</f>
        <v>(stand)beeld / (Rijks)monument</v>
      </c>
      <c r="Q31" t="str">
        <f>IFERROR(VLOOKUP(G31,categorieen!$D:$E,2,FALSE),"")</f>
        <v/>
      </c>
      <c r="R31" t="str">
        <f>IFERROR(VLOOKUP(H31,categorieen!$D:$E,2,FALSE),"")</f>
        <v/>
      </c>
      <c r="S31" t="str">
        <f>IFERROR(VLOOKUP(I31,categorieen!$D:$E,2,FALSE),"")</f>
        <v/>
      </c>
      <c r="T31" t="str">
        <f>IFERROR(VLOOKUP(J31,categorieen!$D:$E,2,FALSE),"")</f>
        <v/>
      </c>
    </row>
    <row r="32" spans="1:20" x14ac:dyDescent="0.25">
      <c r="A32" t="s">
        <v>70</v>
      </c>
      <c r="B32" s="3"/>
      <c r="C32">
        <v>22</v>
      </c>
      <c r="D32">
        <v>1</v>
      </c>
      <c r="E32">
        <v>42</v>
      </c>
      <c r="F32">
        <v>27</v>
      </c>
      <c r="M32" t="str">
        <f>IFERROR(VLOOKUP(C32,categorieen!$D:$E,2,FALSE),"")</f>
        <v>3x dezelfde letter</v>
      </c>
      <c r="N32" t="str">
        <f>IFERROR(VLOOKUP(D32,categorieen!$D:$E,2,FALSE),"")</f>
        <v>Eerste- en Eindletter hetzelfde</v>
      </c>
      <c r="O32" t="str">
        <f>IFERROR(VLOOKUP(E32,categorieen!$D:$E,2,FALSE),"")</f>
        <v>7 letters</v>
      </c>
      <c r="P32" t="str">
        <f>IFERROR(VLOOKUP(F32,categorieen!$D:$E,2,FALSE),"")</f>
        <v>Eten en Drinken (ED)</v>
      </c>
      <c r="Q32" t="str">
        <f>IFERROR(VLOOKUP(G32,categorieen!$D:$E,2,FALSE),"")</f>
        <v/>
      </c>
      <c r="R32" t="str">
        <f>IFERROR(VLOOKUP(H32,categorieen!$D:$E,2,FALSE),"")</f>
        <v/>
      </c>
      <c r="S32" t="str">
        <f>IFERROR(VLOOKUP(I32,categorieen!$D:$E,2,FALSE),"")</f>
        <v/>
      </c>
      <c r="T32" t="str">
        <f>IFERROR(VLOOKUP(J32,categorieen!$D:$E,2,FALSE),"")</f>
        <v/>
      </c>
    </row>
    <row r="33" spans="1:20" x14ac:dyDescent="0.25">
      <c r="A33" t="s">
        <v>71</v>
      </c>
      <c r="B33" s="3"/>
      <c r="C33">
        <v>33</v>
      </c>
      <c r="D33">
        <v>21</v>
      </c>
      <c r="E33">
        <v>42</v>
      </c>
      <c r="F33">
        <v>15</v>
      </c>
      <c r="G33">
        <v>4</v>
      </c>
      <c r="M33" t="str">
        <f>IFERROR(VLOOKUP(C33,categorieen!$D:$E,2,FALSE),"")</f>
        <v>076 (Breda)</v>
      </c>
      <c r="N33" t="str">
        <f>IFERROR(VLOOKUP(D33,categorieen!$D:$E,2,FALSE),"")</f>
        <v>West Brabant</v>
      </c>
      <c r="O33" t="str">
        <f>IFERROR(VLOOKUP(E33,categorieen!$D:$E,2,FALSE),"")</f>
        <v>7 letters</v>
      </c>
      <c r="P33" t="str">
        <f>IFERROR(VLOOKUP(F33,categorieen!$D:$E,2,FALSE),"")</f>
        <v>Getal/Cijfer</v>
      </c>
      <c r="Q33" t="str">
        <f>IFERROR(VLOOKUP(G33,categorieen!$D:$E,2,FALSE),"")</f>
        <v>Zes letters</v>
      </c>
      <c r="R33" t="str">
        <f>IFERROR(VLOOKUP(H33,categorieen!$D:$E,2,FALSE),"")</f>
        <v/>
      </c>
      <c r="S33" t="str">
        <f>IFERROR(VLOOKUP(I33,categorieen!$D:$E,2,FALSE),"")</f>
        <v/>
      </c>
      <c r="T33" t="str">
        <f>IFERROR(VLOOKUP(J33,categorieen!$D:$E,2,FALSE),"")</f>
        <v/>
      </c>
    </row>
    <row r="34" spans="1:20" x14ac:dyDescent="0.25">
      <c r="A34" t="s">
        <v>72</v>
      </c>
      <c r="B34" s="3"/>
      <c r="C34">
        <v>12</v>
      </c>
      <c r="D34">
        <v>19</v>
      </c>
      <c r="E34">
        <v>21</v>
      </c>
      <c r="F34">
        <v>39</v>
      </c>
      <c r="M34" t="str">
        <f>IFERROR(VLOOKUP(C34,categorieen!$D:$E,2,FALSE),"")</f>
        <v>Water</v>
      </c>
      <c r="N34" t="str">
        <f>IFERROR(VLOOKUP(D34,categorieen!$D:$E,2,FALSE),"")</f>
        <v>Natuur</v>
      </c>
      <c r="O34" t="str">
        <f>IFERROR(VLOOKUP(E34,categorieen!$D:$E,2,FALSE),"")</f>
        <v>West Brabant</v>
      </c>
      <c r="P34" t="str">
        <f>IFERROR(VLOOKUP(F34,categorieen!$D:$E,2,FALSE),"")</f>
        <v>Theater</v>
      </c>
      <c r="Q34" t="str">
        <f>IFERROR(VLOOKUP(G34,categorieen!$D:$E,2,FALSE),"")</f>
        <v/>
      </c>
      <c r="R34" t="str">
        <f>IFERROR(VLOOKUP(H34,categorieen!$D:$E,2,FALSE),"")</f>
        <v/>
      </c>
      <c r="S34" t="str">
        <f>IFERROR(VLOOKUP(I34,categorieen!$D:$E,2,FALSE),"")</f>
        <v/>
      </c>
      <c r="T34" t="str">
        <f>IFERROR(VLOOKUP(J34,categorieen!$D:$E,2,FALSE),"")</f>
        <v/>
      </c>
    </row>
    <row r="35" spans="1:20" x14ac:dyDescent="0.25">
      <c r="A35" t="s">
        <v>73</v>
      </c>
      <c r="B35" s="3"/>
      <c r="C35">
        <v>16</v>
      </c>
      <c r="D35">
        <v>36</v>
      </c>
      <c r="E35">
        <v>8</v>
      </c>
      <c r="F35">
        <v>11</v>
      </c>
      <c r="G35">
        <v>9</v>
      </c>
      <c r="M35" t="str">
        <f>IFERROR(VLOOKUP(C35,categorieen!$D:$E,2,FALSE),"")</f>
        <v>Buurtschap</v>
      </c>
      <c r="N35" t="str">
        <f>IFERROR(VLOOKUP(D35,categorieen!$D:$E,2,FALSE),"")</f>
        <v>Plein</v>
      </c>
      <c r="O35" t="str">
        <f>IFERROR(VLOOKUP(E35,categorieen!$D:$E,2,FALSE),"")</f>
        <v>040 (Eindhoven)</v>
      </c>
      <c r="P35" t="str">
        <f>IFERROR(VLOOKUP(F35,categorieen!$D:$E,2,FALSE),"")</f>
        <v>Tilburg</v>
      </c>
      <c r="Q35" t="str">
        <f>IFERROR(VLOOKUP(G35,categorieen!$D:$E,2,FALSE),"")</f>
        <v>Kiosk</v>
      </c>
      <c r="R35" t="str">
        <f>IFERROR(VLOOKUP(H35,categorieen!$D:$E,2,FALSE),"")</f>
        <v/>
      </c>
      <c r="S35" t="str">
        <f>IFERROR(VLOOKUP(I35,categorieen!$D:$E,2,FALSE),"")</f>
        <v/>
      </c>
      <c r="T35" t="str">
        <f>IFERROR(VLOOKUP(J35,categorieen!$D:$E,2,FALSE),"")</f>
        <v/>
      </c>
    </row>
    <row r="36" spans="1:20" x14ac:dyDescent="0.25">
      <c r="A36" t="s">
        <v>76</v>
      </c>
      <c r="B36" s="3" t="s">
        <v>77</v>
      </c>
      <c r="C36">
        <v>2</v>
      </c>
      <c r="D36">
        <v>33</v>
      </c>
      <c r="E36">
        <v>21</v>
      </c>
      <c r="F36">
        <v>26</v>
      </c>
      <c r="M36" t="str">
        <f>IFERROR(VLOOKUP(C36,categorieen!$D:$E,2,FALSE),"")</f>
        <v>(stand)beeld / (Rijks)monument</v>
      </c>
      <c r="N36" t="str">
        <f>IFERROR(VLOOKUP(D36,categorieen!$D:$E,2,FALSE),"")</f>
        <v>076 (Breda)</v>
      </c>
      <c r="O36" t="str">
        <f>IFERROR(VLOOKUP(E36,categorieen!$D:$E,2,FALSE),"")</f>
        <v>West Brabant</v>
      </c>
      <c r="P36" t="str">
        <f>IFERROR(VLOOKUP(F36,categorieen!$D:$E,2,FALSE),"")</f>
        <v>Eindigt op el</v>
      </c>
      <c r="Q36" t="str">
        <f>IFERROR(VLOOKUP(G36,categorieen!$D:$E,2,FALSE),"")</f>
        <v/>
      </c>
      <c r="R36" t="str">
        <f>IFERROR(VLOOKUP(H36,categorieen!$D:$E,2,FALSE),"")</f>
        <v/>
      </c>
      <c r="S36" t="str">
        <f>IFERROR(VLOOKUP(I36,categorieen!$D:$E,2,FALSE),"")</f>
        <v/>
      </c>
      <c r="T36" t="str">
        <f>IFERROR(VLOOKUP(J36,categorieen!$D:$E,2,FALSE),"")</f>
        <v/>
      </c>
    </row>
    <row r="37" spans="1:20" x14ac:dyDescent="0.25">
      <c r="A37" t="s">
        <v>78</v>
      </c>
      <c r="B37" s="3"/>
      <c r="C37">
        <v>22</v>
      </c>
      <c r="D37">
        <v>34</v>
      </c>
      <c r="E37">
        <v>2</v>
      </c>
      <c r="M37" t="str">
        <f>IFERROR(VLOOKUP(C37,categorieen!$D:$E,2,FALSE),"")</f>
        <v>3x dezelfde letter</v>
      </c>
      <c r="N37" t="str">
        <f>IFERROR(VLOOKUP(D37,categorieen!$D:$E,2,FALSE),"")</f>
        <v>Met 4 Wieken</v>
      </c>
      <c r="O37" t="str">
        <f>IFERROR(VLOOKUP(E37,categorieen!$D:$E,2,FALSE),"")</f>
        <v>(stand)beeld / (Rijks)monument</v>
      </c>
      <c r="P37" t="str">
        <f>IFERROR(VLOOKUP(F37,categorieen!$D:$E,2,FALSE),"")</f>
        <v/>
      </c>
      <c r="Q37" t="str">
        <f>IFERROR(VLOOKUP(G37,categorieen!$D:$E,2,FALSE),"")</f>
        <v/>
      </c>
      <c r="R37" t="str">
        <f>IFERROR(VLOOKUP(H37,categorieen!$D:$E,2,FALSE),"")</f>
        <v/>
      </c>
      <c r="S37" t="str">
        <f>IFERROR(VLOOKUP(I37,categorieen!$D:$E,2,FALSE),"")</f>
        <v/>
      </c>
      <c r="T37" t="str">
        <f>IFERROR(VLOOKUP(J37,categorieen!$D:$E,2,FALSE),"")</f>
        <v/>
      </c>
    </row>
    <row r="38" spans="1:20" x14ac:dyDescent="0.25">
      <c r="A38" t="s">
        <v>79</v>
      </c>
      <c r="B38" s="3"/>
      <c r="C38">
        <v>4</v>
      </c>
      <c r="D38">
        <v>5</v>
      </c>
      <c r="E38">
        <v>30</v>
      </c>
      <c r="F38">
        <v>2</v>
      </c>
      <c r="M38" t="str">
        <f>IFERROR(VLOOKUP(C38,categorieen!$D:$E,2,FALSE),"")</f>
        <v>Zes letters</v>
      </c>
      <c r="N38" t="str">
        <f>IFERROR(VLOOKUP(D38,categorieen!$D:$E,2,FALSE),"")</f>
        <v>Bekende Brabanders</v>
      </c>
      <c r="O38" t="str">
        <f>IFERROR(VLOOKUP(E38,categorieen!$D:$E,2,FALSE),"")</f>
        <v>In de volksmond (IDV)</v>
      </c>
      <c r="P38" t="str">
        <f>IFERROR(VLOOKUP(F38,categorieen!$D:$E,2,FALSE),"")</f>
        <v>(stand)beeld / (Rijks)monument</v>
      </c>
      <c r="Q38" t="str">
        <f>IFERROR(VLOOKUP(G38,categorieen!$D:$E,2,FALSE),"")</f>
        <v/>
      </c>
      <c r="R38" t="str">
        <f>IFERROR(VLOOKUP(H38,categorieen!$D:$E,2,FALSE),"")</f>
        <v/>
      </c>
      <c r="S38" t="str">
        <f>IFERROR(VLOOKUP(I38,categorieen!$D:$E,2,FALSE),"")</f>
        <v/>
      </c>
      <c r="T38" t="str">
        <f>IFERROR(VLOOKUP(J38,categorieen!$D:$E,2,FALSE),"")</f>
        <v/>
      </c>
    </row>
    <row r="39" spans="1:20" x14ac:dyDescent="0.25">
      <c r="A39" t="s">
        <v>80</v>
      </c>
      <c r="B39" s="3" t="s">
        <v>230</v>
      </c>
      <c r="C39">
        <v>39</v>
      </c>
      <c r="D39">
        <v>22</v>
      </c>
      <c r="E39">
        <v>34</v>
      </c>
      <c r="M39" t="str">
        <f>IFERROR(VLOOKUP(C39,categorieen!$D:$E,2,FALSE),"")</f>
        <v>Theater</v>
      </c>
      <c r="N39" t="str">
        <f>IFERROR(VLOOKUP(D39,categorieen!$D:$E,2,FALSE),"")</f>
        <v>3x dezelfde letter</v>
      </c>
      <c r="O39" t="str">
        <f>IFERROR(VLOOKUP(E39,categorieen!$D:$E,2,FALSE),"")</f>
        <v>Met 4 Wieken</v>
      </c>
      <c r="P39" t="str">
        <f>IFERROR(VLOOKUP(F39,categorieen!$D:$E,2,FALSE),"")</f>
        <v/>
      </c>
      <c r="Q39" t="str">
        <f>IFERROR(VLOOKUP(G39,categorieen!$D:$E,2,FALSE),"")</f>
        <v/>
      </c>
      <c r="R39" t="str">
        <f>IFERROR(VLOOKUP(H39,categorieen!$D:$E,2,FALSE),"")</f>
        <v/>
      </c>
      <c r="S39" t="str">
        <f>IFERROR(VLOOKUP(I39,categorieen!$D:$E,2,FALSE),"")</f>
        <v/>
      </c>
      <c r="T39" t="str">
        <f>IFERROR(VLOOKUP(J39,categorieen!$D:$E,2,FALSE),"")</f>
        <v/>
      </c>
    </row>
    <row r="40" spans="1:20" x14ac:dyDescent="0.25">
      <c r="A40" s="7" t="s">
        <v>179</v>
      </c>
      <c r="B40" s="5" t="s">
        <v>180</v>
      </c>
      <c r="C40" s="4">
        <v>4</v>
      </c>
      <c r="D40" s="4">
        <v>9</v>
      </c>
      <c r="M40" t="str">
        <f>IFERROR(VLOOKUP(C40,categorieen!$D:$E,2,FALSE),"")</f>
        <v>Zes letters</v>
      </c>
      <c r="N40" t="str">
        <f>IFERROR(VLOOKUP(D40,categorieen!$D:$E,2,FALSE),"")</f>
        <v>Kiosk</v>
      </c>
      <c r="O40" t="str">
        <f>IFERROR(VLOOKUP(E40,categorieen!$D:$E,2,FALSE),"")</f>
        <v/>
      </c>
      <c r="P40" t="str">
        <f>IFERROR(VLOOKUP(F40,categorieen!$D:$E,2,FALSE),"")</f>
        <v/>
      </c>
      <c r="Q40" t="str">
        <f>IFERROR(VLOOKUP(G40,categorieen!$D:$E,2,FALSE),"")</f>
        <v/>
      </c>
      <c r="R40" t="str">
        <f>IFERROR(VLOOKUP(H40,categorieen!$D:$E,2,FALSE),"")</f>
        <v/>
      </c>
      <c r="S40" t="str">
        <f>IFERROR(VLOOKUP(I40,categorieen!$D:$E,2,FALSE),"")</f>
        <v/>
      </c>
      <c r="T40" t="str">
        <f>IFERROR(VLOOKUP(J40,categorieen!$D:$E,2,FALSE),"")</f>
        <v/>
      </c>
    </row>
    <row r="41" spans="1:20" x14ac:dyDescent="0.25">
      <c r="A41" t="s">
        <v>81</v>
      </c>
      <c r="B41" s="3"/>
      <c r="C41">
        <v>33</v>
      </c>
      <c r="D41">
        <v>21</v>
      </c>
      <c r="E41">
        <v>19</v>
      </c>
      <c r="F41">
        <v>40</v>
      </c>
      <c r="M41" t="str">
        <f>IFERROR(VLOOKUP(C41,categorieen!$D:$E,2,FALSE),"")</f>
        <v>076 (Breda)</v>
      </c>
      <c r="N41" t="str">
        <f>IFERROR(VLOOKUP(D41,categorieen!$D:$E,2,FALSE),"")</f>
        <v>West Brabant</v>
      </c>
      <c r="O41" t="str">
        <f>IFERROR(VLOOKUP(E41,categorieen!$D:$E,2,FALSE),"")</f>
        <v>Natuur</v>
      </c>
      <c r="P41" t="str">
        <f>IFERROR(VLOOKUP(F41,categorieen!$D:$E,2,FALSE),"")</f>
        <v>Typisch Brabants (TB)</v>
      </c>
      <c r="Q41" t="str">
        <f>IFERROR(VLOOKUP(G41,categorieen!$D:$E,2,FALSE),"")</f>
        <v/>
      </c>
      <c r="R41" t="str">
        <f>IFERROR(VLOOKUP(H41,categorieen!$D:$E,2,FALSE),"")</f>
        <v/>
      </c>
      <c r="S41" t="str">
        <f>IFERROR(VLOOKUP(I41,categorieen!$D:$E,2,FALSE),"")</f>
        <v/>
      </c>
      <c r="T41" t="str">
        <f>IFERROR(VLOOKUP(J41,categorieen!$D:$E,2,FALSE),"")</f>
        <v/>
      </c>
    </row>
    <row r="42" spans="1:20" x14ac:dyDescent="0.25">
      <c r="A42" t="s">
        <v>82</v>
      </c>
      <c r="B42" s="3"/>
      <c r="C42">
        <v>16</v>
      </c>
      <c r="D42">
        <v>34</v>
      </c>
      <c r="E42">
        <v>21</v>
      </c>
      <c r="F42">
        <v>43</v>
      </c>
      <c r="M42" t="str">
        <f>IFERROR(VLOOKUP(C42,categorieen!$D:$E,2,FALSE),"")</f>
        <v>Buurtschap</v>
      </c>
      <c r="N42" t="str">
        <f>IFERROR(VLOOKUP(D42,categorieen!$D:$E,2,FALSE),"")</f>
        <v>Met 4 Wieken</v>
      </c>
      <c r="O42" t="str">
        <f>IFERROR(VLOOKUP(E42,categorieen!$D:$E,2,FALSE),"")</f>
        <v>West Brabant</v>
      </c>
      <c r="P42" t="str">
        <f>IFERROR(VLOOKUP(F42,categorieen!$D:$E,2,FALSE),"")</f>
        <v>Dierlijk</v>
      </c>
      <c r="Q42" t="str">
        <f>IFERROR(VLOOKUP(G42,categorieen!$D:$E,2,FALSE),"")</f>
        <v/>
      </c>
      <c r="R42" t="str">
        <f>IFERROR(VLOOKUP(H42,categorieen!$D:$E,2,FALSE),"")</f>
        <v/>
      </c>
      <c r="S42" t="str">
        <f>IFERROR(VLOOKUP(I42,categorieen!$D:$E,2,FALSE),"")</f>
        <v/>
      </c>
      <c r="T42" t="str">
        <f>IFERROR(VLOOKUP(J42,categorieen!$D:$E,2,FALSE),"")</f>
        <v/>
      </c>
    </row>
    <row r="43" spans="1:20" x14ac:dyDescent="0.25">
      <c r="A43" t="s">
        <v>83</v>
      </c>
      <c r="B43" s="3"/>
      <c r="C43">
        <v>15</v>
      </c>
      <c r="D43">
        <v>34</v>
      </c>
      <c r="E43">
        <v>21</v>
      </c>
      <c r="M43" t="str">
        <f>IFERROR(VLOOKUP(C43,categorieen!$D:$E,2,FALSE),"")</f>
        <v>Getal/Cijfer</v>
      </c>
      <c r="N43" t="str">
        <f>IFERROR(VLOOKUP(D43,categorieen!$D:$E,2,FALSE),"")</f>
        <v>Met 4 Wieken</v>
      </c>
      <c r="O43" t="str">
        <f>IFERROR(VLOOKUP(E43,categorieen!$D:$E,2,FALSE),"")</f>
        <v>West Brabant</v>
      </c>
      <c r="P43" t="str">
        <f>IFERROR(VLOOKUP(F43,categorieen!$D:$E,2,FALSE),"")</f>
        <v/>
      </c>
      <c r="Q43" t="str">
        <f>IFERROR(VLOOKUP(G43,categorieen!$D:$E,2,FALSE),"")</f>
        <v/>
      </c>
      <c r="R43" t="str">
        <f>IFERROR(VLOOKUP(H43,categorieen!$D:$E,2,FALSE),"")</f>
        <v/>
      </c>
      <c r="S43" t="str">
        <f>IFERROR(VLOOKUP(I43,categorieen!$D:$E,2,FALSE),"")</f>
        <v/>
      </c>
      <c r="T43" t="str">
        <f>IFERROR(VLOOKUP(J43,categorieen!$D:$E,2,FALSE),"")</f>
        <v/>
      </c>
    </row>
    <row r="44" spans="1:20" x14ac:dyDescent="0.25">
      <c r="A44" t="s">
        <v>84</v>
      </c>
      <c r="B44" s="3" t="s">
        <v>85</v>
      </c>
      <c r="C44">
        <v>7</v>
      </c>
      <c r="D44">
        <v>37</v>
      </c>
      <c r="E44">
        <v>15</v>
      </c>
      <c r="F44">
        <v>5</v>
      </c>
      <c r="G44">
        <v>31</v>
      </c>
      <c r="M44" t="str">
        <f>IFERROR(VLOOKUP(C44,categorieen!$D:$E,2,FALSE),"")</f>
        <v>Alaaf</v>
      </c>
      <c r="N44" t="str">
        <f>IFERROR(VLOOKUP(D44,categorieen!$D:$E,2,FALSE),"")</f>
        <v>s Hertogenbosch (DB)</v>
      </c>
      <c r="O44" t="str">
        <f>IFERROR(VLOOKUP(E44,categorieen!$D:$E,2,FALSE),"")</f>
        <v>Getal/Cijfer</v>
      </c>
      <c r="P44" t="str">
        <f>IFERROR(VLOOKUP(F44,categorieen!$D:$E,2,FALSE),"")</f>
        <v>Bekende Brabanders</v>
      </c>
      <c r="Q44" t="str">
        <f>IFERROR(VLOOKUP(G44,categorieen!$D:$E,2,FALSE),"")</f>
        <v>Kleurrijk</v>
      </c>
      <c r="R44" t="str">
        <f>IFERROR(VLOOKUP(H44,categorieen!$D:$E,2,FALSE),"")</f>
        <v/>
      </c>
      <c r="S44" t="str">
        <f>IFERROR(VLOOKUP(I44,categorieen!$D:$E,2,FALSE),"")</f>
        <v/>
      </c>
      <c r="T44" t="str">
        <f>IFERROR(VLOOKUP(J44,categorieen!$D:$E,2,FALSE),"")</f>
        <v/>
      </c>
    </row>
    <row r="45" spans="1:20" x14ac:dyDescent="0.25">
      <c r="A45" t="s">
        <v>86</v>
      </c>
      <c r="B45" s="3"/>
      <c r="C45">
        <v>29</v>
      </c>
      <c r="D45">
        <v>36</v>
      </c>
      <c r="E45">
        <v>9</v>
      </c>
      <c r="M45" t="str">
        <f>IFERROR(VLOOKUP(C45,categorieen!$D:$E,2,FALSE),"")</f>
        <v>Hilvarenbeek</v>
      </c>
      <c r="N45" t="str">
        <f>IFERROR(VLOOKUP(D45,categorieen!$D:$E,2,FALSE),"")</f>
        <v>Plein</v>
      </c>
      <c r="O45" t="str">
        <f>IFERROR(VLOOKUP(E45,categorieen!$D:$E,2,FALSE),"")</f>
        <v>Kiosk</v>
      </c>
      <c r="P45" t="str">
        <f>IFERROR(VLOOKUP(F45,categorieen!$D:$E,2,FALSE),"")</f>
        <v/>
      </c>
      <c r="Q45" t="str">
        <f>IFERROR(VLOOKUP(G45,categorieen!$D:$E,2,FALSE),"")</f>
        <v/>
      </c>
      <c r="R45" t="str">
        <f>IFERROR(VLOOKUP(H45,categorieen!$D:$E,2,FALSE),"")</f>
        <v/>
      </c>
      <c r="S45" t="str">
        <f>IFERROR(VLOOKUP(I45,categorieen!$D:$E,2,FALSE),"")</f>
        <v/>
      </c>
      <c r="T45" t="str">
        <f>IFERROR(VLOOKUP(J45,categorieen!$D:$E,2,FALSE),"")</f>
        <v/>
      </c>
    </row>
    <row r="46" spans="1:20" x14ac:dyDescent="0.25">
      <c r="A46" t="s">
        <v>87</v>
      </c>
      <c r="B46" s="3"/>
      <c r="C46">
        <v>7</v>
      </c>
      <c r="D46">
        <v>35</v>
      </c>
      <c r="M46" t="str">
        <f>IFERROR(VLOOKUP(C46,categorieen!$D:$E,2,FALSE),"")</f>
        <v>Alaaf</v>
      </c>
      <c r="N46" t="str">
        <f>IFERROR(VLOOKUP(D46,categorieen!$D:$E,2,FALSE),"")</f>
        <v>Parel in het Groen (PITG)</v>
      </c>
      <c r="O46" t="str">
        <f>IFERROR(VLOOKUP(E46,categorieen!$D:$E,2,FALSE),"")</f>
        <v/>
      </c>
      <c r="P46" t="str">
        <f>IFERROR(VLOOKUP(F46,categorieen!$D:$E,2,FALSE),"")</f>
        <v/>
      </c>
      <c r="Q46" t="str">
        <f>IFERROR(VLOOKUP(G46,categorieen!$D:$E,2,FALSE),"")</f>
        <v/>
      </c>
      <c r="R46" t="str">
        <f>IFERROR(VLOOKUP(H46,categorieen!$D:$E,2,FALSE),"")</f>
        <v/>
      </c>
      <c r="S46" t="str">
        <f>IFERROR(VLOOKUP(I46,categorieen!$D:$E,2,FALSE),"")</f>
        <v/>
      </c>
      <c r="T46" t="str">
        <f>IFERROR(VLOOKUP(J46,categorieen!$D:$E,2,FALSE),"")</f>
        <v/>
      </c>
    </row>
    <row r="47" spans="1:20" x14ac:dyDescent="0.25">
      <c r="A47" t="s">
        <v>88</v>
      </c>
      <c r="B47" s="3"/>
      <c r="C47">
        <v>15</v>
      </c>
      <c r="D47">
        <v>27</v>
      </c>
      <c r="E47">
        <v>2</v>
      </c>
      <c r="M47" t="str">
        <f>IFERROR(VLOOKUP(C47,categorieen!$D:$E,2,FALSE),"")</f>
        <v>Getal/Cijfer</v>
      </c>
      <c r="N47" t="str">
        <f>IFERROR(VLOOKUP(D47,categorieen!$D:$E,2,FALSE),"")</f>
        <v>Eten en Drinken (ED)</v>
      </c>
      <c r="O47" t="str">
        <f>IFERROR(VLOOKUP(E47,categorieen!$D:$E,2,FALSE),"")</f>
        <v>(stand)beeld / (Rijks)monument</v>
      </c>
      <c r="P47" t="str">
        <f>IFERROR(VLOOKUP(F47,categorieen!$D:$E,2,FALSE),"")</f>
        <v/>
      </c>
      <c r="Q47" t="str">
        <f>IFERROR(VLOOKUP(G47,categorieen!$D:$E,2,FALSE),"")</f>
        <v/>
      </c>
      <c r="R47" t="str">
        <f>IFERROR(VLOOKUP(H47,categorieen!$D:$E,2,FALSE),"")</f>
        <v/>
      </c>
      <c r="S47" t="str">
        <f>IFERROR(VLOOKUP(I47,categorieen!$D:$E,2,FALSE),"")</f>
        <v/>
      </c>
      <c r="T47" t="str">
        <f>IFERROR(VLOOKUP(J47,categorieen!$D:$E,2,FALSE),"")</f>
        <v/>
      </c>
    </row>
    <row r="48" spans="1:20" x14ac:dyDescent="0.25">
      <c r="A48" s="4" t="s">
        <v>89</v>
      </c>
      <c r="B48" s="3"/>
      <c r="C48">
        <v>29</v>
      </c>
      <c r="D48">
        <v>42</v>
      </c>
      <c r="E48">
        <v>17</v>
      </c>
      <c r="F48">
        <v>32</v>
      </c>
      <c r="G48">
        <v>18</v>
      </c>
      <c r="M48" t="str">
        <f>IFERROR(VLOOKUP(C48,categorieen!$D:$E,2,FALSE),"")</f>
        <v>Hilvarenbeek</v>
      </c>
      <c r="N48" t="str">
        <f>IFERROR(VLOOKUP(D48,categorieen!$D:$E,2,FALSE),"")</f>
        <v>7 letters</v>
      </c>
      <c r="O48" t="str">
        <f>IFERROR(VLOOKUP(E48,categorieen!$D:$E,2,FALSE),"")</f>
        <v>Met dubbel s</v>
      </c>
      <c r="P48" t="str">
        <f>IFERROR(VLOOKUP(F48,categorieen!$D:$E,2,FALSE),"")</f>
        <v>Met ie</v>
      </c>
      <c r="Q48" t="str">
        <f>IFERROR(VLOOKUP(G48,categorieen!$D:$E,2,FALSE),"")</f>
        <v>Willem II</v>
      </c>
      <c r="R48" t="str">
        <f>IFERROR(VLOOKUP(H48,categorieen!$D:$E,2,FALSE),"")</f>
        <v/>
      </c>
      <c r="S48" t="str">
        <f>IFERROR(VLOOKUP(I48,categorieen!$D:$E,2,FALSE),"")</f>
        <v/>
      </c>
      <c r="T48" t="str">
        <f>IFERROR(VLOOKUP(J48,categorieen!$D:$E,2,FALSE),"")</f>
        <v/>
      </c>
    </row>
    <row r="49" spans="1:20" x14ac:dyDescent="0.25">
      <c r="A49" s="7" t="s">
        <v>178</v>
      </c>
      <c r="B49" s="3"/>
      <c r="C49" s="12">
        <v>5</v>
      </c>
      <c r="D49" s="12">
        <v>38</v>
      </c>
      <c r="E49" s="12">
        <v>11</v>
      </c>
      <c r="F49" s="12">
        <v>42</v>
      </c>
      <c r="G49" s="12">
        <v>31</v>
      </c>
      <c r="H49" s="12">
        <v>18</v>
      </c>
      <c r="M49" t="str">
        <f>IFERROR(VLOOKUP(C49,categorieen!$D:$E,2,FALSE),"")</f>
        <v>Bekende Brabanders</v>
      </c>
      <c r="N49" t="str">
        <f>IFERROR(VLOOKUP(D49,categorieen!$D:$E,2,FALSE),"")</f>
        <v>Sport</v>
      </c>
      <c r="O49" t="str">
        <f>IFERROR(VLOOKUP(E49,categorieen!$D:$E,2,FALSE),"")</f>
        <v>Tilburg</v>
      </c>
      <c r="P49" t="str">
        <f>IFERROR(VLOOKUP(F49,categorieen!$D:$E,2,FALSE),"")</f>
        <v>7 letters</v>
      </c>
      <c r="Q49" t="str">
        <f>IFERROR(VLOOKUP(G49,categorieen!$D:$E,2,FALSE),"")</f>
        <v>Kleurrijk</v>
      </c>
      <c r="R49" t="str">
        <f>IFERROR(VLOOKUP(H49,categorieen!$D:$E,2,FALSE),"")</f>
        <v>Willem II</v>
      </c>
      <c r="S49" t="str">
        <f>IFERROR(VLOOKUP(I49,categorieen!$D:$E,2,FALSE),"")</f>
        <v/>
      </c>
      <c r="T49" t="str">
        <f>IFERROR(VLOOKUP(J49,categorieen!$D:$E,2,FALSE),"")</f>
        <v/>
      </c>
    </row>
    <row r="50" spans="1:20" x14ac:dyDescent="0.25">
      <c r="A50" t="s">
        <v>210</v>
      </c>
      <c r="B50" s="3" t="s">
        <v>90</v>
      </c>
      <c r="C50">
        <v>37</v>
      </c>
      <c r="D50">
        <v>2</v>
      </c>
      <c r="E50">
        <v>43</v>
      </c>
      <c r="M50" t="str">
        <f>IFERROR(VLOOKUP(C50,categorieen!$D:$E,2,FALSE),"")</f>
        <v>s Hertogenbosch (DB)</v>
      </c>
      <c r="N50" t="str">
        <f>IFERROR(VLOOKUP(D50,categorieen!$D:$E,2,FALSE),"")</f>
        <v>(stand)beeld / (Rijks)monument</v>
      </c>
      <c r="O50" t="str">
        <f>IFERROR(VLOOKUP(E50,categorieen!$D:$E,2,FALSE),"")</f>
        <v>Dierlijk</v>
      </c>
      <c r="P50" t="str">
        <f>IFERROR(VLOOKUP(F50,categorieen!$D:$E,2,FALSE),"")</f>
        <v/>
      </c>
      <c r="Q50" t="str">
        <f>IFERROR(VLOOKUP(G50,categorieen!$D:$E,2,FALSE),"")</f>
        <v/>
      </c>
      <c r="R50" t="str">
        <f>IFERROR(VLOOKUP(H50,categorieen!$D:$E,2,FALSE),"")</f>
        <v/>
      </c>
      <c r="S50" t="str">
        <f>IFERROR(VLOOKUP(I50,categorieen!$D:$E,2,FALSE),"")</f>
        <v/>
      </c>
      <c r="T50" t="str">
        <f>IFERROR(VLOOKUP(J50,categorieen!$D:$E,2,FALSE),"")</f>
        <v/>
      </c>
    </row>
    <row r="51" spans="1:20" x14ac:dyDescent="0.25">
      <c r="A51" t="s">
        <v>92</v>
      </c>
      <c r="B51" s="3"/>
      <c r="C51">
        <v>25</v>
      </c>
      <c r="D51">
        <v>26</v>
      </c>
      <c r="E51">
        <v>4</v>
      </c>
      <c r="F51">
        <v>9</v>
      </c>
      <c r="M51" t="str">
        <f>IFERROR(VLOOKUP(C51,categorieen!$D:$E,2,FALSE),"")</f>
        <v>1 van de 8</v>
      </c>
      <c r="N51" t="str">
        <f>IFERROR(VLOOKUP(D51,categorieen!$D:$E,2,FALSE),"")</f>
        <v>Eindigt op el</v>
      </c>
      <c r="O51" t="str">
        <f>IFERROR(VLOOKUP(E51,categorieen!$D:$E,2,FALSE),"")</f>
        <v>Zes letters</v>
      </c>
      <c r="P51" t="str">
        <f>IFERROR(VLOOKUP(F51,categorieen!$D:$E,2,FALSE),"")</f>
        <v>Kiosk</v>
      </c>
      <c r="Q51" t="str">
        <f>IFERROR(VLOOKUP(G51,categorieen!$D:$E,2,FALSE),"")</f>
        <v/>
      </c>
      <c r="R51" t="str">
        <f>IFERROR(VLOOKUP(H51,categorieen!$D:$E,2,FALSE),"")</f>
        <v/>
      </c>
      <c r="S51" t="str">
        <f>IFERROR(VLOOKUP(I51,categorieen!$D:$E,2,FALSE),"")</f>
        <v/>
      </c>
      <c r="T51" t="str">
        <f>IFERROR(VLOOKUP(J51,categorieen!$D:$E,2,FALSE),"")</f>
        <v/>
      </c>
    </row>
    <row r="52" spans="1:20" x14ac:dyDescent="0.25">
      <c r="A52" t="s">
        <v>93</v>
      </c>
      <c r="B52" s="3"/>
      <c r="C52">
        <v>25</v>
      </c>
      <c r="D52">
        <v>4</v>
      </c>
      <c r="E52">
        <v>22</v>
      </c>
      <c r="F52">
        <v>26</v>
      </c>
      <c r="G52">
        <v>9</v>
      </c>
      <c r="M52" t="str">
        <f>IFERROR(VLOOKUP(C52,categorieen!$D:$E,2,FALSE),"")</f>
        <v>1 van de 8</v>
      </c>
      <c r="N52" t="str">
        <f>IFERROR(VLOOKUP(D52,categorieen!$D:$E,2,FALSE),"")</f>
        <v>Zes letters</v>
      </c>
      <c r="O52" t="str">
        <f>IFERROR(VLOOKUP(E52,categorieen!$D:$E,2,FALSE),"")</f>
        <v>3x dezelfde letter</v>
      </c>
      <c r="P52" t="str">
        <f>IFERROR(VLOOKUP(F52,categorieen!$D:$E,2,FALSE),"")</f>
        <v>Eindigt op el</v>
      </c>
      <c r="Q52" t="str">
        <f>IFERROR(VLOOKUP(G52,categorieen!$D:$E,2,FALSE),"")</f>
        <v>Kiosk</v>
      </c>
      <c r="R52" t="str">
        <f>IFERROR(VLOOKUP(H52,categorieen!$D:$E,2,FALSE),"")</f>
        <v/>
      </c>
      <c r="S52" t="str">
        <f>IFERROR(VLOOKUP(I52,categorieen!$D:$E,2,FALSE),"")</f>
        <v/>
      </c>
      <c r="T52" t="str">
        <f>IFERROR(VLOOKUP(J52,categorieen!$D:$E,2,FALSE),"")</f>
        <v/>
      </c>
    </row>
    <row r="53" spans="1:20" x14ac:dyDescent="0.25">
      <c r="A53" t="s">
        <v>94</v>
      </c>
      <c r="B53" s="3"/>
      <c r="C53">
        <v>29</v>
      </c>
      <c r="D53">
        <v>32</v>
      </c>
      <c r="E53">
        <v>20</v>
      </c>
      <c r="F53">
        <v>31</v>
      </c>
      <c r="G53">
        <v>27</v>
      </c>
      <c r="M53" t="str">
        <f>IFERROR(VLOOKUP(C53,categorieen!$D:$E,2,FALSE),"")</f>
        <v>Hilvarenbeek</v>
      </c>
      <c r="N53" t="str">
        <f>IFERROR(VLOOKUP(D53,categorieen!$D:$E,2,FALSE),"")</f>
        <v>Met ie</v>
      </c>
      <c r="O53" t="str">
        <f>IFERROR(VLOOKUP(E53,categorieen!$D:$E,2,FALSE),"")</f>
        <v>Festival</v>
      </c>
      <c r="P53" t="str">
        <f>IFERROR(VLOOKUP(F53,categorieen!$D:$E,2,FALSE),"")</f>
        <v>Kleurrijk</v>
      </c>
      <c r="Q53" t="str">
        <f>IFERROR(VLOOKUP(G53,categorieen!$D:$E,2,FALSE),"")</f>
        <v>Eten en Drinken (ED)</v>
      </c>
      <c r="R53" t="str">
        <f>IFERROR(VLOOKUP(H53,categorieen!$D:$E,2,FALSE),"")</f>
        <v/>
      </c>
      <c r="S53" t="str">
        <f>IFERROR(VLOOKUP(I53,categorieen!$D:$E,2,FALSE),"")</f>
        <v/>
      </c>
      <c r="T53" t="str">
        <f>IFERROR(VLOOKUP(J53,categorieen!$D:$E,2,FALSE),"")</f>
        <v/>
      </c>
    </row>
    <row r="54" spans="1:20" x14ac:dyDescent="0.25">
      <c r="A54" t="s">
        <v>95</v>
      </c>
      <c r="B54" s="3"/>
      <c r="C54">
        <v>8</v>
      </c>
      <c r="D54">
        <v>42</v>
      </c>
      <c r="E54">
        <v>2</v>
      </c>
      <c r="M54" t="str">
        <f>IFERROR(VLOOKUP(C54,categorieen!$D:$E,2,FALSE),"")</f>
        <v>040 (Eindhoven)</v>
      </c>
      <c r="N54" t="str">
        <f>IFERROR(VLOOKUP(D54,categorieen!$D:$E,2,FALSE),"")</f>
        <v>7 letters</v>
      </c>
      <c r="O54" t="str">
        <f>IFERROR(VLOOKUP(E54,categorieen!$D:$E,2,FALSE),"")</f>
        <v>(stand)beeld / (Rijks)monument</v>
      </c>
      <c r="P54" t="str">
        <f>IFERROR(VLOOKUP(F54,categorieen!$D:$E,2,FALSE),"")</f>
        <v/>
      </c>
      <c r="Q54" t="str">
        <f>IFERROR(VLOOKUP(G54,categorieen!$D:$E,2,FALSE),"")</f>
        <v/>
      </c>
      <c r="R54" t="str">
        <f>IFERROR(VLOOKUP(H54,categorieen!$D:$E,2,FALSE),"")</f>
        <v/>
      </c>
      <c r="S54" t="str">
        <f>IFERROR(VLOOKUP(I54,categorieen!$D:$E,2,FALSE),"")</f>
        <v/>
      </c>
      <c r="T54" t="str">
        <f>IFERROR(VLOOKUP(J54,categorieen!$D:$E,2,FALSE),"")</f>
        <v/>
      </c>
    </row>
    <row r="55" spans="1:20" x14ac:dyDescent="0.25">
      <c r="A55" t="s">
        <v>96</v>
      </c>
      <c r="B55" s="3" t="s">
        <v>97</v>
      </c>
      <c r="C55">
        <v>5</v>
      </c>
      <c r="D55">
        <v>8</v>
      </c>
      <c r="E55">
        <v>17</v>
      </c>
      <c r="M55" t="str">
        <f>IFERROR(VLOOKUP(C55,categorieen!$D:$E,2,FALSE),"")</f>
        <v>Bekende Brabanders</v>
      </c>
      <c r="N55" t="str">
        <f>IFERROR(VLOOKUP(D55,categorieen!$D:$E,2,FALSE),"")</f>
        <v>040 (Eindhoven)</v>
      </c>
      <c r="O55" t="str">
        <f>IFERROR(VLOOKUP(E55,categorieen!$D:$E,2,FALSE),"")</f>
        <v>Met dubbel s</v>
      </c>
      <c r="P55" t="str">
        <f>IFERROR(VLOOKUP(F55,categorieen!$D:$E,2,FALSE),"")</f>
        <v/>
      </c>
      <c r="Q55" t="str">
        <f>IFERROR(VLOOKUP(G55,categorieen!$D:$E,2,FALSE),"")</f>
        <v/>
      </c>
      <c r="R55" t="str">
        <f>IFERROR(VLOOKUP(H55,categorieen!$D:$E,2,FALSE),"")</f>
        <v/>
      </c>
      <c r="S55" t="str">
        <f>IFERROR(VLOOKUP(I55,categorieen!$D:$E,2,FALSE),"")</f>
        <v/>
      </c>
      <c r="T55" t="str">
        <f>IFERROR(VLOOKUP(J55,categorieen!$D:$E,2,FALSE),"")</f>
        <v/>
      </c>
    </row>
    <row r="56" spans="1:20" x14ac:dyDescent="0.25">
      <c r="A56" s="7" t="s">
        <v>188</v>
      </c>
      <c r="B56" s="3"/>
      <c r="C56" s="4">
        <v>2</v>
      </c>
      <c r="D56" s="4">
        <v>22</v>
      </c>
      <c r="M56" t="str">
        <f>IFERROR(VLOOKUP(C56,categorieen!$D:$E,2,FALSE),"")</f>
        <v>(stand)beeld / (Rijks)monument</v>
      </c>
      <c r="N56" t="str">
        <f>IFERROR(VLOOKUP(D56,categorieen!$D:$E,2,FALSE),"")</f>
        <v>3x dezelfde letter</v>
      </c>
      <c r="O56" t="str">
        <f>IFERROR(VLOOKUP(E56,categorieen!$D:$E,2,FALSE),"")</f>
        <v/>
      </c>
      <c r="P56" t="str">
        <f>IFERROR(VLOOKUP(F56,categorieen!$D:$E,2,FALSE),"")</f>
        <v/>
      </c>
      <c r="Q56" t="str">
        <f>IFERROR(VLOOKUP(G56,categorieen!$D:$E,2,FALSE),"")</f>
        <v/>
      </c>
      <c r="R56" t="str">
        <f>IFERROR(VLOOKUP(H56,categorieen!$D:$E,2,FALSE),"")</f>
        <v/>
      </c>
      <c r="S56" t="str">
        <f>IFERROR(VLOOKUP(I56,categorieen!$D:$E,2,FALSE),"")</f>
        <v/>
      </c>
      <c r="T56" t="str">
        <f>IFERROR(VLOOKUP(J56,categorieen!$D:$E,2,FALSE),"")</f>
        <v/>
      </c>
    </row>
    <row r="57" spans="1:20" x14ac:dyDescent="0.25">
      <c r="A57" t="s">
        <v>98</v>
      </c>
      <c r="B57" s="3"/>
      <c r="C57">
        <v>20</v>
      </c>
      <c r="D57">
        <v>8</v>
      </c>
      <c r="E57">
        <v>31</v>
      </c>
      <c r="F57">
        <v>24</v>
      </c>
      <c r="M57" t="str">
        <f>IFERROR(VLOOKUP(C57,categorieen!$D:$E,2,FALSE),"")</f>
        <v>Festival</v>
      </c>
      <c r="N57" t="str">
        <f>IFERROR(VLOOKUP(D57,categorieen!$D:$E,2,FALSE),"")</f>
        <v>040 (Eindhoven)</v>
      </c>
      <c r="O57" t="str">
        <f>IFERROR(VLOOKUP(E57,categorieen!$D:$E,2,FALSE),"")</f>
        <v>Kleurrijk</v>
      </c>
      <c r="P57" t="str">
        <f>IFERROR(VLOOKUP(F57,categorieen!$D:$E,2,FALSE),"")</f>
        <v>3 of 4 letters</v>
      </c>
      <c r="Q57" t="str">
        <f>IFERROR(VLOOKUP(G57,categorieen!$D:$E,2,FALSE),"")</f>
        <v/>
      </c>
      <c r="R57" t="str">
        <f>IFERROR(VLOOKUP(H57,categorieen!$D:$E,2,FALSE),"")</f>
        <v/>
      </c>
      <c r="S57" t="str">
        <f>IFERROR(VLOOKUP(I57,categorieen!$D:$E,2,FALSE),"")</f>
        <v/>
      </c>
      <c r="T57" t="str">
        <f>IFERROR(VLOOKUP(J57,categorieen!$D:$E,2,FALSE),"")</f>
        <v/>
      </c>
    </row>
    <row r="58" spans="1:20" x14ac:dyDescent="0.25">
      <c r="A58" s="4" t="s">
        <v>99</v>
      </c>
      <c r="B58" s="3"/>
      <c r="C58">
        <v>22</v>
      </c>
      <c r="D58">
        <v>19</v>
      </c>
      <c r="E58">
        <v>29</v>
      </c>
      <c r="M58" t="str">
        <f>IFERROR(VLOOKUP(C58,categorieen!$D:$E,2,FALSE),"")</f>
        <v>3x dezelfde letter</v>
      </c>
      <c r="N58" t="str">
        <f>IFERROR(VLOOKUP(D58,categorieen!$D:$E,2,FALSE),"")</f>
        <v>Natuur</v>
      </c>
      <c r="O58" t="str">
        <f>IFERROR(VLOOKUP(E58,categorieen!$D:$E,2,FALSE),"")</f>
        <v>Hilvarenbeek</v>
      </c>
      <c r="P58" t="str">
        <f>IFERROR(VLOOKUP(F58,categorieen!$D:$E,2,FALSE),"")</f>
        <v/>
      </c>
      <c r="Q58" t="str">
        <f>IFERROR(VLOOKUP(G58,categorieen!$D:$E,2,FALSE),"")</f>
        <v/>
      </c>
      <c r="R58" t="str">
        <f>IFERROR(VLOOKUP(H58,categorieen!$D:$E,2,FALSE),"")</f>
        <v/>
      </c>
      <c r="S58" t="str">
        <f>IFERROR(VLOOKUP(I58,categorieen!$D:$E,2,FALSE),"")</f>
        <v/>
      </c>
      <c r="T58" t="str">
        <f>IFERROR(VLOOKUP(J58,categorieen!$D:$E,2,FALSE),"")</f>
        <v/>
      </c>
    </row>
    <row r="59" spans="1:20" x14ac:dyDescent="0.25">
      <c r="A59" t="s">
        <v>100</v>
      </c>
      <c r="B59" s="3"/>
      <c r="C59">
        <v>37</v>
      </c>
      <c r="D59">
        <v>15</v>
      </c>
      <c r="E59">
        <v>30</v>
      </c>
      <c r="M59" t="str">
        <f>IFERROR(VLOOKUP(C59,categorieen!$D:$E,2,FALSE),"")</f>
        <v>s Hertogenbosch (DB)</v>
      </c>
      <c r="N59" t="str">
        <f>IFERROR(VLOOKUP(D59,categorieen!$D:$E,2,FALSE),"")</f>
        <v>Getal/Cijfer</v>
      </c>
      <c r="O59" t="str">
        <f>IFERROR(VLOOKUP(E59,categorieen!$D:$E,2,FALSE),"")</f>
        <v>In de volksmond (IDV)</v>
      </c>
      <c r="P59" t="str">
        <f>IFERROR(VLOOKUP(F59,categorieen!$D:$E,2,FALSE),"")</f>
        <v/>
      </c>
      <c r="Q59" t="str">
        <f>IFERROR(VLOOKUP(G59,categorieen!$D:$E,2,FALSE),"")</f>
        <v/>
      </c>
      <c r="R59" t="str">
        <f>IFERROR(VLOOKUP(H59,categorieen!$D:$E,2,FALSE),"")</f>
        <v/>
      </c>
      <c r="S59" t="str">
        <f>IFERROR(VLOOKUP(I59,categorieen!$D:$E,2,FALSE),"")</f>
        <v/>
      </c>
      <c r="T59" t="str">
        <f>IFERROR(VLOOKUP(J59,categorieen!$D:$E,2,FALSE),"")</f>
        <v/>
      </c>
    </row>
    <row r="60" spans="1:20" x14ac:dyDescent="0.25">
      <c r="A60" t="s">
        <v>101</v>
      </c>
      <c r="B60" s="3"/>
      <c r="C60">
        <v>14</v>
      </c>
      <c r="D60">
        <v>19</v>
      </c>
      <c r="E60">
        <v>9</v>
      </c>
      <c r="F60">
        <v>16</v>
      </c>
      <c r="M60" t="str">
        <f>IFERROR(VLOOKUP(C60,categorieen!$D:$E,2,FALSE),"")</f>
        <v>Kasteel</v>
      </c>
      <c r="N60" t="str">
        <f>IFERROR(VLOOKUP(D60,categorieen!$D:$E,2,FALSE),"")</f>
        <v>Natuur</v>
      </c>
      <c r="O60" t="str">
        <f>IFERROR(VLOOKUP(E60,categorieen!$D:$E,2,FALSE),"")</f>
        <v>Kiosk</v>
      </c>
      <c r="P60" t="str">
        <f>IFERROR(VLOOKUP(F60,categorieen!$D:$E,2,FALSE),"")</f>
        <v>Buurtschap</v>
      </c>
      <c r="Q60" t="str">
        <f>IFERROR(VLOOKUP(G60,categorieen!$D:$E,2,FALSE),"")</f>
        <v/>
      </c>
      <c r="R60" t="str">
        <f>IFERROR(VLOOKUP(H60,categorieen!$D:$E,2,FALSE),"")</f>
        <v/>
      </c>
      <c r="S60" t="str">
        <f>IFERROR(VLOOKUP(I60,categorieen!$D:$E,2,FALSE),"")</f>
        <v/>
      </c>
      <c r="T60" t="str">
        <f>IFERROR(VLOOKUP(J60,categorieen!$D:$E,2,FALSE),"")</f>
        <v/>
      </c>
    </row>
    <row r="61" spans="1:20" x14ac:dyDescent="0.25">
      <c r="A61" t="s">
        <v>102</v>
      </c>
      <c r="B61" s="3"/>
      <c r="C61">
        <v>21</v>
      </c>
      <c r="D61">
        <v>34</v>
      </c>
      <c r="M61" t="str">
        <f>IFERROR(VLOOKUP(C61,categorieen!$D:$E,2,FALSE),"")</f>
        <v>West Brabant</v>
      </c>
      <c r="N61" t="str">
        <f>IFERROR(VLOOKUP(D61,categorieen!$D:$E,2,FALSE),"")</f>
        <v>Met 4 Wieken</v>
      </c>
      <c r="O61" t="str">
        <f>IFERROR(VLOOKUP(E61,categorieen!$D:$E,2,FALSE),"")</f>
        <v/>
      </c>
      <c r="P61" t="str">
        <f>IFERROR(VLOOKUP(F61,categorieen!$D:$E,2,FALSE),"")</f>
        <v/>
      </c>
      <c r="Q61" t="str">
        <f>IFERROR(VLOOKUP(G61,categorieen!$D:$E,2,FALSE),"")</f>
        <v/>
      </c>
      <c r="R61" t="str">
        <f>IFERROR(VLOOKUP(H61,categorieen!$D:$E,2,FALSE),"")</f>
        <v/>
      </c>
      <c r="S61" t="str">
        <f>IFERROR(VLOOKUP(I61,categorieen!$D:$E,2,FALSE),"")</f>
        <v/>
      </c>
      <c r="T61" t="str">
        <f>IFERROR(VLOOKUP(J61,categorieen!$D:$E,2,FALSE),"")</f>
        <v/>
      </c>
    </row>
    <row r="62" spans="1:20" x14ac:dyDescent="0.25">
      <c r="A62" t="s">
        <v>103</v>
      </c>
      <c r="B62" s="3"/>
      <c r="C62">
        <v>42</v>
      </c>
      <c r="D62">
        <v>14</v>
      </c>
      <c r="M62" t="str">
        <f>IFERROR(VLOOKUP(C62,categorieen!$D:$E,2,FALSE),"")</f>
        <v>7 letters</v>
      </c>
      <c r="N62" t="str">
        <f>IFERROR(VLOOKUP(D62,categorieen!$D:$E,2,FALSE),"")</f>
        <v>Kasteel</v>
      </c>
      <c r="O62" t="str">
        <f>IFERROR(VLOOKUP(E62,categorieen!$D:$E,2,FALSE),"")</f>
        <v/>
      </c>
      <c r="P62" t="str">
        <f>IFERROR(VLOOKUP(F62,categorieen!$D:$E,2,FALSE),"")</f>
        <v/>
      </c>
      <c r="Q62" t="str">
        <f>IFERROR(VLOOKUP(G62,categorieen!$D:$E,2,FALSE),"")</f>
        <v/>
      </c>
      <c r="R62" t="str">
        <f>IFERROR(VLOOKUP(H62,categorieen!$D:$E,2,FALSE),"")</f>
        <v/>
      </c>
      <c r="S62" t="str">
        <f>IFERROR(VLOOKUP(I62,categorieen!$D:$E,2,FALSE),"")</f>
        <v/>
      </c>
      <c r="T62" t="str">
        <f>IFERROR(VLOOKUP(J62,categorieen!$D:$E,2,FALSE),"")</f>
        <v/>
      </c>
    </row>
    <row r="63" spans="1:20" x14ac:dyDescent="0.25">
      <c r="A63" t="s">
        <v>104</v>
      </c>
      <c r="B63" s="3"/>
      <c r="C63">
        <v>40</v>
      </c>
      <c r="D63">
        <v>30</v>
      </c>
      <c r="E63">
        <v>4</v>
      </c>
      <c r="M63" t="str">
        <f>IFERROR(VLOOKUP(C63,categorieen!$D:$E,2,FALSE),"")</f>
        <v>Typisch Brabants (TB)</v>
      </c>
      <c r="N63" t="str">
        <f>IFERROR(VLOOKUP(D63,categorieen!$D:$E,2,FALSE),"")</f>
        <v>In de volksmond (IDV)</v>
      </c>
      <c r="O63" t="str">
        <f>IFERROR(VLOOKUP(E63,categorieen!$D:$E,2,FALSE),"")</f>
        <v>Zes letters</v>
      </c>
      <c r="P63" t="str">
        <f>IFERROR(VLOOKUP(F63,categorieen!$D:$E,2,FALSE),"")</f>
        <v/>
      </c>
      <c r="Q63" t="str">
        <f>IFERROR(VLOOKUP(G63,categorieen!$D:$E,2,FALSE),"")</f>
        <v/>
      </c>
      <c r="R63" t="str">
        <f>IFERROR(VLOOKUP(H63,categorieen!$D:$E,2,FALSE),"")</f>
        <v/>
      </c>
      <c r="S63" t="str">
        <f>IFERROR(VLOOKUP(I63,categorieen!$D:$E,2,FALSE),"")</f>
        <v/>
      </c>
      <c r="T63" t="str">
        <f>IFERROR(VLOOKUP(J63,categorieen!$D:$E,2,FALSE),"")</f>
        <v/>
      </c>
    </row>
    <row r="64" spans="1:20" x14ac:dyDescent="0.25">
      <c r="A64" s="7" t="s">
        <v>181</v>
      </c>
      <c r="B64" s="3"/>
      <c r="C64" s="4">
        <v>4</v>
      </c>
      <c r="D64">
        <v>25</v>
      </c>
      <c r="E64">
        <v>26</v>
      </c>
      <c r="M64" t="str">
        <f>IFERROR(VLOOKUP(C64,categorieen!$D:$E,2,FALSE),"")</f>
        <v>Zes letters</v>
      </c>
      <c r="N64" t="str">
        <f>IFERROR(VLOOKUP(D64,categorieen!$D:$E,2,FALSE),"")</f>
        <v>1 van de 8</v>
      </c>
      <c r="O64" t="str">
        <f>IFERROR(VLOOKUP(E64,categorieen!$D:$E,2,FALSE),"")</f>
        <v>Eindigt op el</v>
      </c>
      <c r="P64" t="str">
        <f>IFERROR(VLOOKUP(F64,categorieen!$D:$E,2,FALSE),"")</f>
        <v/>
      </c>
      <c r="Q64" t="str">
        <f>IFERROR(VLOOKUP(G64,categorieen!$D:$E,2,FALSE),"")</f>
        <v/>
      </c>
      <c r="R64" t="str">
        <f>IFERROR(VLOOKUP(H64,categorieen!$D:$E,2,FALSE),"")</f>
        <v/>
      </c>
      <c r="S64" t="str">
        <f>IFERROR(VLOOKUP(I64,categorieen!$D:$E,2,FALSE),"")</f>
        <v/>
      </c>
      <c r="T64" t="str">
        <f>IFERROR(VLOOKUP(J64,categorieen!$D:$E,2,FALSE),"")</f>
        <v/>
      </c>
    </row>
    <row r="65" spans="1:20" x14ac:dyDescent="0.25">
      <c r="A65" t="s">
        <v>105</v>
      </c>
      <c r="B65" s="3" t="s">
        <v>106</v>
      </c>
      <c r="C65">
        <v>38</v>
      </c>
      <c r="D65">
        <v>5</v>
      </c>
      <c r="E65">
        <v>13</v>
      </c>
      <c r="F65">
        <v>8</v>
      </c>
      <c r="M65" t="str">
        <f>IFERROR(VLOOKUP(C65,categorieen!$D:$E,2,FALSE),"")</f>
        <v>Sport</v>
      </c>
      <c r="N65" t="str">
        <f>IFERROR(VLOOKUP(D65,categorieen!$D:$E,2,FALSE),"")</f>
        <v>Bekende Brabanders</v>
      </c>
      <c r="O65" t="str">
        <f>IFERROR(VLOOKUP(E65,categorieen!$D:$E,2,FALSE),"")</f>
        <v>Met dubbel T</v>
      </c>
      <c r="P65" t="str">
        <f>IFERROR(VLOOKUP(F65,categorieen!$D:$E,2,FALSE),"")</f>
        <v>040 (Eindhoven)</v>
      </c>
      <c r="Q65" t="str">
        <f>IFERROR(VLOOKUP(G65,categorieen!$D:$E,2,FALSE),"")</f>
        <v/>
      </c>
      <c r="R65" t="str">
        <f>IFERROR(VLOOKUP(H65,categorieen!$D:$E,2,FALSE),"")</f>
        <v/>
      </c>
      <c r="S65" t="str">
        <f>IFERROR(VLOOKUP(I65,categorieen!$D:$E,2,FALSE),"")</f>
        <v/>
      </c>
      <c r="T65" t="str">
        <f>IFERROR(VLOOKUP(J65,categorieen!$D:$E,2,FALSE),"")</f>
        <v/>
      </c>
    </row>
    <row r="66" spans="1:20" x14ac:dyDescent="0.25">
      <c r="A66" t="s">
        <v>107</v>
      </c>
      <c r="B66" s="3"/>
      <c r="C66">
        <v>41</v>
      </c>
      <c r="D66">
        <v>8</v>
      </c>
      <c r="E66">
        <v>12</v>
      </c>
      <c r="F66">
        <v>19</v>
      </c>
      <c r="M66" t="str">
        <f>IFERROR(VLOOKUP(C66,categorieen!$D:$E,2,FALSE),"")</f>
        <v>Vught</v>
      </c>
      <c r="N66" t="str">
        <f>IFERROR(VLOOKUP(D66,categorieen!$D:$E,2,FALSE),"")</f>
        <v>040 (Eindhoven)</v>
      </c>
      <c r="O66" t="str">
        <f>IFERROR(VLOOKUP(E66,categorieen!$D:$E,2,FALSE),"")</f>
        <v>Water</v>
      </c>
      <c r="P66" t="str">
        <f>IFERROR(VLOOKUP(F66,categorieen!$D:$E,2,FALSE),"")</f>
        <v>Natuur</v>
      </c>
      <c r="Q66" t="str">
        <f>IFERROR(VLOOKUP(G66,categorieen!$D:$E,2,FALSE),"")</f>
        <v/>
      </c>
      <c r="R66" t="str">
        <f>IFERROR(VLOOKUP(H66,categorieen!$D:$E,2,FALSE),"")</f>
        <v/>
      </c>
      <c r="S66" t="str">
        <f>IFERROR(VLOOKUP(I66,categorieen!$D:$E,2,FALSE),"")</f>
        <v/>
      </c>
      <c r="T66" t="str">
        <f>IFERROR(VLOOKUP(J66,categorieen!$D:$E,2,FALSE),"")</f>
        <v/>
      </c>
    </row>
    <row r="67" spans="1:20" x14ac:dyDescent="0.25">
      <c r="A67" t="s">
        <v>108</v>
      </c>
      <c r="B67" s="3"/>
      <c r="C67">
        <v>20</v>
      </c>
      <c r="D67">
        <v>31</v>
      </c>
      <c r="E67">
        <v>35</v>
      </c>
      <c r="M67" t="str">
        <f>IFERROR(VLOOKUP(C67,categorieen!$D:$E,2,FALSE),"")</f>
        <v>Festival</v>
      </c>
      <c r="N67" t="str">
        <f>IFERROR(VLOOKUP(D67,categorieen!$D:$E,2,FALSE),"")</f>
        <v>Kleurrijk</v>
      </c>
      <c r="O67" t="str">
        <f>IFERROR(VLOOKUP(E67,categorieen!$D:$E,2,FALSE),"")</f>
        <v>Parel in het Groen (PITG)</v>
      </c>
      <c r="P67" t="str">
        <f>IFERROR(VLOOKUP(F67,categorieen!$D:$E,2,FALSE),"")</f>
        <v/>
      </c>
      <c r="Q67" t="str">
        <f>IFERROR(VLOOKUP(G67,categorieen!$D:$E,2,FALSE),"")</f>
        <v/>
      </c>
      <c r="R67" t="str">
        <f>IFERROR(VLOOKUP(H67,categorieen!$D:$E,2,FALSE),"")</f>
        <v/>
      </c>
      <c r="S67" t="str">
        <f>IFERROR(VLOOKUP(I67,categorieen!$D:$E,2,FALSE),"")</f>
        <v/>
      </c>
      <c r="T67" t="str">
        <f>IFERROR(VLOOKUP(J67,categorieen!$D:$E,2,FALSE),"")</f>
        <v/>
      </c>
    </row>
    <row r="68" spans="1:20" x14ac:dyDescent="0.25">
      <c r="A68" t="s">
        <v>109</v>
      </c>
      <c r="B68" s="3" t="s">
        <v>205</v>
      </c>
      <c r="C68">
        <v>41</v>
      </c>
      <c r="D68">
        <v>27</v>
      </c>
      <c r="M68" t="str">
        <f>IFERROR(VLOOKUP(C68,categorieen!$D:$E,2,FALSE),"")</f>
        <v>Vught</v>
      </c>
      <c r="N68" t="str">
        <f>IFERROR(VLOOKUP(D68,categorieen!$D:$E,2,FALSE),"")</f>
        <v>Eten en Drinken (ED)</v>
      </c>
      <c r="O68" t="str">
        <f>IFERROR(VLOOKUP(E68,categorieen!$D:$E,2,FALSE),"")</f>
        <v/>
      </c>
      <c r="P68" t="str">
        <f>IFERROR(VLOOKUP(F68,categorieen!$D:$E,2,FALSE),"")</f>
        <v/>
      </c>
      <c r="Q68" t="str">
        <f>IFERROR(VLOOKUP(G68,categorieen!$D:$E,2,FALSE),"")</f>
        <v/>
      </c>
      <c r="R68" t="str">
        <f>IFERROR(VLOOKUP(H68,categorieen!$D:$E,2,FALSE),"")</f>
        <v/>
      </c>
      <c r="S68" t="str">
        <f>IFERROR(VLOOKUP(I68,categorieen!$D:$E,2,FALSE),"")</f>
        <v/>
      </c>
      <c r="T68" t="str">
        <f>IFERROR(VLOOKUP(J68,categorieen!$D:$E,2,FALSE),"")</f>
        <v/>
      </c>
    </row>
    <row r="69" spans="1:20" ht="30" x14ac:dyDescent="0.25">
      <c r="A69" t="s">
        <v>110</v>
      </c>
      <c r="B69" s="3" t="s">
        <v>111</v>
      </c>
      <c r="C69">
        <v>38</v>
      </c>
      <c r="D69">
        <v>5</v>
      </c>
      <c r="E69">
        <v>18</v>
      </c>
      <c r="M69" t="str">
        <f>IFERROR(VLOOKUP(C69,categorieen!$D:$E,2,FALSE),"")</f>
        <v>Sport</v>
      </c>
      <c r="N69" t="str">
        <f>IFERROR(VLOOKUP(D69,categorieen!$D:$E,2,FALSE),"")</f>
        <v>Bekende Brabanders</v>
      </c>
      <c r="O69" t="str">
        <f>IFERROR(VLOOKUP(E69,categorieen!$D:$E,2,FALSE),"")</f>
        <v>Willem II</v>
      </c>
      <c r="P69" t="str">
        <f>IFERROR(VLOOKUP(F69,categorieen!$D:$E,2,FALSE),"")</f>
        <v/>
      </c>
      <c r="Q69" t="str">
        <f>IFERROR(VLOOKUP(G69,categorieen!$D:$E,2,FALSE),"")</f>
        <v/>
      </c>
      <c r="R69" t="str">
        <f>IFERROR(VLOOKUP(H69,categorieen!$D:$E,2,FALSE),"")</f>
        <v/>
      </c>
      <c r="S69" t="str">
        <f>IFERROR(VLOOKUP(I69,categorieen!$D:$E,2,FALSE),"")</f>
        <v/>
      </c>
      <c r="T69" t="str">
        <f>IFERROR(VLOOKUP(J69,categorieen!$D:$E,2,FALSE),"")</f>
        <v/>
      </c>
    </row>
    <row r="70" spans="1:20" x14ac:dyDescent="0.25">
      <c r="A70" t="s">
        <v>112</v>
      </c>
      <c r="C70">
        <v>35</v>
      </c>
      <c r="D70">
        <v>42</v>
      </c>
      <c r="E70">
        <v>2</v>
      </c>
      <c r="F70">
        <v>19</v>
      </c>
      <c r="M70" t="str">
        <f>IFERROR(VLOOKUP(C70,categorieen!$D:$E,2,FALSE),"")</f>
        <v>Parel in het Groen (PITG)</v>
      </c>
      <c r="N70" t="str">
        <f>IFERROR(VLOOKUP(D70,categorieen!$D:$E,2,FALSE),"")</f>
        <v>7 letters</v>
      </c>
      <c r="O70" t="str">
        <f>IFERROR(VLOOKUP(E70,categorieen!$D:$E,2,FALSE),"")</f>
        <v>(stand)beeld / (Rijks)monument</v>
      </c>
      <c r="P70" t="str">
        <f>IFERROR(VLOOKUP(F70,categorieen!$D:$E,2,FALSE),"")</f>
        <v>Natuur</v>
      </c>
      <c r="Q70" t="str">
        <f>IFERROR(VLOOKUP(G70,categorieen!$D:$E,2,FALSE),"")</f>
        <v/>
      </c>
      <c r="R70" t="str">
        <f>IFERROR(VLOOKUP(H70,categorieen!$D:$E,2,FALSE),"")</f>
        <v/>
      </c>
      <c r="S70" t="str">
        <f>IFERROR(VLOOKUP(I70,categorieen!$D:$E,2,FALSE),"")</f>
        <v/>
      </c>
      <c r="T70" t="str">
        <f>IFERROR(VLOOKUP(J70,categorieen!$D:$E,2,FALSE),"")</f>
        <v/>
      </c>
    </row>
    <row r="71" spans="1:20" x14ac:dyDescent="0.25">
      <c r="A71" t="s">
        <v>113</v>
      </c>
      <c r="C71">
        <v>25</v>
      </c>
      <c r="D71">
        <v>42</v>
      </c>
      <c r="E71">
        <v>26</v>
      </c>
      <c r="M71" t="str">
        <f>IFERROR(VLOOKUP(C71,categorieen!$D:$E,2,FALSE),"")</f>
        <v>1 van de 8</v>
      </c>
      <c r="N71" t="str">
        <f>IFERROR(VLOOKUP(D71,categorieen!$D:$E,2,FALSE),"")</f>
        <v>7 letters</v>
      </c>
      <c r="O71" t="str">
        <f>IFERROR(VLOOKUP(E71,categorieen!$D:$E,2,FALSE),"")</f>
        <v>Eindigt op el</v>
      </c>
      <c r="P71" t="str">
        <f>IFERROR(VLOOKUP(F71,categorieen!$D:$E,2,FALSE),"")</f>
        <v/>
      </c>
      <c r="Q71" t="str">
        <f>IFERROR(VLOOKUP(G71,categorieen!$D:$E,2,FALSE),"")</f>
        <v/>
      </c>
      <c r="R71" t="str">
        <f>IFERROR(VLOOKUP(H71,categorieen!$D:$E,2,FALSE),"")</f>
        <v/>
      </c>
      <c r="S71" t="str">
        <f>IFERROR(VLOOKUP(I71,categorieen!$D:$E,2,FALSE),"")</f>
        <v/>
      </c>
      <c r="T71" t="str">
        <f>IFERROR(VLOOKUP(J71,categorieen!$D:$E,2,FALSE),"")</f>
        <v/>
      </c>
    </row>
    <row r="72" spans="1:20" x14ac:dyDescent="0.25">
      <c r="A72" t="s">
        <v>114</v>
      </c>
      <c r="B72" t="s">
        <v>115</v>
      </c>
      <c r="C72">
        <v>7</v>
      </c>
      <c r="D72">
        <v>11</v>
      </c>
      <c r="E72">
        <v>22</v>
      </c>
      <c r="M72" t="str">
        <f>IFERROR(VLOOKUP(C72,categorieen!$D:$E,2,FALSE),"")</f>
        <v>Alaaf</v>
      </c>
      <c r="N72" t="str">
        <f>IFERROR(VLOOKUP(D72,categorieen!$D:$E,2,FALSE),"")</f>
        <v>Tilburg</v>
      </c>
      <c r="O72" t="str">
        <f>IFERROR(VLOOKUP(E72,categorieen!$D:$E,2,FALSE),"")</f>
        <v>3x dezelfde letter</v>
      </c>
      <c r="P72" t="str">
        <f>IFERROR(VLOOKUP(F72,categorieen!$D:$E,2,FALSE),"")</f>
        <v/>
      </c>
      <c r="Q72" t="str">
        <f>IFERROR(VLOOKUP(G72,categorieen!$D:$E,2,FALSE),"")</f>
        <v/>
      </c>
      <c r="R72" t="str">
        <f>IFERROR(VLOOKUP(H72,categorieen!$D:$E,2,FALSE),"")</f>
        <v/>
      </c>
      <c r="S72" t="str">
        <f>IFERROR(VLOOKUP(I72,categorieen!$D:$E,2,FALSE),"")</f>
        <v/>
      </c>
      <c r="T72" t="str">
        <f>IFERROR(VLOOKUP(J72,categorieen!$D:$E,2,FALSE),"")</f>
        <v/>
      </c>
    </row>
    <row r="73" spans="1:20" x14ac:dyDescent="0.25">
      <c r="A73" t="s">
        <v>116</v>
      </c>
      <c r="C73">
        <v>24</v>
      </c>
      <c r="D73">
        <v>35</v>
      </c>
      <c r="E73">
        <v>43</v>
      </c>
      <c r="M73" t="str">
        <f>IFERROR(VLOOKUP(C73,categorieen!$D:$E,2,FALSE),"")</f>
        <v>3 of 4 letters</v>
      </c>
      <c r="N73" t="str">
        <f>IFERROR(VLOOKUP(D73,categorieen!$D:$E,2,FALSE),"")</f>
        <v>Parel in het Groen (PITG)</v>
      </c>
      <c r="O73" t="str">
        <f>IFERROR(VLOOKUP(E73,categorieen!$D:$E,2,FALSE),"")</f>
        <v>Dierlijk</v>
      </c>
      <c r="P73" t="str">
        <f>IFERROR(VLOOKUP(F73,categorieen!$D:$E,2,FALSE),"")</f>
        <v/>
      </c>
      <c r="Q73" t="str">
        <f>IFERROR(VLOOKUP(G73,categorieen!$D:$E,2,FALSE),"")</f>
        <v/>
      </c>
      <c r="R73" t="str">
        <f>IFERROR(VLOOKUP(H73,categorieen!$D:$E,2,FALSE),"")</f>
        <v/>
      </c>
      <c r="S73" t="str">
        <f>IFERROR(VLOOKUP(I73,categorieen!$D:$E,2,FALSE),"")</f>
        <v/>
      </c>
      <c r="T73" t="str">
        <f>IFERROR(VLOOKUP(J73,categorieen!$D:$E,2,FALSE),"")</f>
        <v/>
      </c>
    </row>
    <row r="74" spans="1:20" x14ac:dyDescent="0.25">
      <c r="A74" t="s">
        <v>117</v>
      </c>
      <c r="B74" t="s">
        <v>124</v>
      </c>
      <c r="C74">
        <v>7</v>
      </c>
      <c r="D74">
        <v>8</v>
      </c>
      <c r="E74">
        <v>40</v>
      </c>
      <c r="M74" t="str">
        <f>IFERROR(VLOOKUP(C74,categorieen!$D:$E,2,FALSE),"")</f>
        <v>Alaaf</v>
      </c>
      <c r="N74" t="str">
        <f>IFERROR(VLOOKUP(D74,categorieen!$D:$E,2,FALSE),"")</f>
        <v>040 (Eindhoven)</v>
      </c>
      <c r="O74" t="str">
        <f>IFERROR(VLOOKUP(E74,categorieen!$D:$E,2,FALSE),"")</f>
        <v>Typisch Brabants (TB)</v>
      </c>
      <c r="P74" t="str">
        <f>IFERROR(VLOOKUP(F74,categorieen!$D:$E,2,FALSE),"")</f>
        <v/>
      </c>
      <c r="Q74" t="str">
        <f>IFERROR(VLOOKUP(G74,categorieen!$D:$E,2,FALSE),"")</f>
        <v/>
      </c>
      <c r="R74" t="str">
        <f>IFERROR(VLOOKUP(H74,categorieen!$D:$E,2,FALSE),"")</f>
        <v/>
      </c>
      <c r="S74" t="str">
        <f>IFERROR(VLOOKUP(I74,categorieen!$D:$E,2,FALSE),"")</f>
        <v/>
      </c>
      <c r="T74" t="str">
        <f>IFERROR(VLOOKUP(J74,categorieen!$D:$E,2,FALSE),"")</f>
        <v/>
      </c>
    </row>
    <row r="75" spans="1:20" x14ac:dyDescent="0.25">
      <c r="A75" t="s">
        <v>118</v>
      </c>
      <c r="C75">
        <v>22</v>
      </c>
      <c r="D75">
        <v>27</v>
      </c>
      <c r="E75">
        <v>35</v>
      </c>
      <c r="M75" t="str">
        <f>IFERROR(VLOOKUP(C75,categorieen!$D:$E,2,FALSE),"")</f>
        <v>3x dezelfde letter</v>
      </c>
      <c r="N75" t="str">
        <f>IFERROR(VLOOKUP(D75,categorieen!$D:$E,2,FALSE),"")</f>
        <v>Eten en Drinken (ED)</v>
      </c>
      <c r="O75" t="str">
        <f>IFERROR(VLOOKUP(E75,categorieen!$D:$E,2,FALSE),"")</f>
        <v>Parel in het Groen (PITG)</v>
      </c>
      <c r="P75" t="str">
        <f>IFERROR(VLOOKUP(F75,categorieen!$D:$E,2,FALSE),"")</f>
        <v/>
      </c>
      <c r="Q75" t="str">
        <f>IFERROR(VLOOKUP(G75,categorieen!$D:$E,2,FALSE),"")</f>
        <v/>
      </c>
      <c r="R75" t="str">
        <f>IFERROR(VLOOKUP(H75,categorieen!$D:$E,2,FALSE),"")</f>
        <v/>
      </c>
      <c r="S75" t="str">
        <f>IFERROR(VLOOKUP(I75,categorieen!$D:$E,2,FALSE),"")</f>
        <v/>
      </c>
      <c r="T75" t="str">
        <f>IFERROR(VLOOKUP(J75,categorieen!$D:$E,2,FALSE),"")</f>
        <v/>
      </c>
    </row>
    <row r="76" spans="1:20" x14ac:dyDescent="0.25">
      <c r="A76" t="s">
        <v>119</v>
      </c>
      <c r="C76">
        <v>24</v>
      </c>
      <c r="D76">
        <v>33</v>
      </c>
      <c r="E76">
        <v>32</v>
      </c>
      <c r="F76">
        <v>16</v>
      </c>
      <c r="M76" t="str">
        <f>IFERROR(VLOOKUP(C76,categorieen!$D:$E,2,FALSE),"")</f>
        <v>3 of 4 letters</v>
      </c>
      <c r="N76" t="str">
        <f>IFERROR(VLOOKUP(D76,categorieen!$D:$E,2,FALSE),"")</f>
        <v>076 (Breda)</v>
      </c>
      <c r="O76" t="str">
        <f>IFERROR(VLOOKUP(E76,categorieen!$D:$E,2,FALSE),"")</f>
        <v>Met ie</v>
      </c>
      <c r="P76" t="str">
        <f>IFERROR(VLOOKUP(F76,categorieen!$D:$E,2,FALSE),"")</f>
        <v>Buurtschap</v>
      </c>
      <c r="Q76" t="str">
        <f>IFERROR(VLOOKUP(G76,categorieen!$D:$E,2,FALSE),"")</f>
        <v/>
      </c>
      <c r="R76" t="str">
        <f>IFERROR(VLOOKUP(H76,categorieen!$D:$E,2,FALSE),"")</f>
        <v/>
      </c>
      <c r="S76" t="str">
        <f>IFERROR(VLOOKUP(I76,categorieen!$D:$E,2,FALSE),"")</f>
        <v/>
      </c>
      <c r="T76" t="str">
        <f>IFERROR(VLOOKUP(J76,categorieen!$D:$E,2,FALSE),"")</f>
        <v/>
      </c>
    </row>
    <row r="77" spans="1:20" x14ac:dyDescent="0.25">
      <c r="A77" t="s">
        <v>120</v>
      </c>
      <c r="C77">
        <v>42</v>
      </c>
      <c r="D77">
        <v>17</v>
      </c>
      <c r="E77">
        <v>32</v>
      </c>
      <c r="F77">
        <v>1</v>
      </c>
      <c r="M77" t="str">
        <f>IFERROR(VLOOKUP(C77,categorieen!$D:$E,2,FALSE),"")</f>
        <v>7 letters</v>
      </c>
      <c r="N77" t="str">
        <f>IFERROR(VLOOKUP(D77,categorieen!$D:$E,2,FALSE),"")</f>
        <v>Met dubbel s</v>
      </c>
      <c r="O77" t="str">
        <f>IFERROR(VLOOKUP(E77,categorieen!$D:$E,2,FALSE),"")</f>
        <v>Met ie</v>
      </c>
      <c r="P77" t="str">
        <f>IFERROR(VLOOKUP(F77,categorieen!$D:$E,2,FALSE),"")</f>
        <v>Eerste- en Eindletter hetzelfde</v>
      </c>
      <c r="Q77" t="str">
        <f>IFERROR(VLOOKUP(G77,categorieen!$D:$E,2,FALSE),"")</f>
        <v/>
      </c>
      <c r="R77" t="str">
        <f>IFERROR(VLOOKUP(H77,categorieen!$D:$E,2,FALSE),"")</f>
        <v/>
      </c>
      <c r="S77" t="str">
        <f>IFERROR(VLOOKUP(I77,categorieen!$D:$E,2,FALSE),"")</f>
        <v/>
      </c>
      <c r="T77" t="str">
        <f>IFERROR(VLOOKUP(J77,categorieen!$D:$E,2,FALSE),"")</f>
        <v/>
      </c>
    </row>
    <row r="78" spans="1:20" x14ac:dyDescent="0.25">
      <c r="A78" t="s">
        <v>121</v>
      </c>
      <c r="C78">
        <v>13</v>
      </c>
      <c r="D78">
        <v>41</v>
      </c>
      <c r="M78" t="str">
        <f>IFERROR(VLOOKUP(C78,categorieen!$D:$E,2,FALSE),"")</f>
        <v>Met dubbel T</v>
      </c>
      <c r="N78" t="str">
        <f>IFERROR(VLOOKUP(D78,categorieen!$D:$E,2,FALSE),"")</f>
        <v>Vught</v>
      </c>
      <c r="O78" t="str">
        <f>IFERROR(VLOOKUP(E78,categorieen!$D:$E,2,FALSE),"")</f>
        <v/>
      </c>
      <c r="P78" t="str">
        <f>IFERROR(VLOOKUP(F78,categorieen!$D:$E,2,FALSE),"")</f>
        <v/>
      </c>
      <c r="Q78" t="str">
        <f>IFERROR(VLOOKUP(G78,categorieen!$D:$E,2,FALSE),"")</f>
        <v/>
      </c>
      <c r="R78" t="str">
        <f>IFERROR(VLOOKUP(H78,categorieen!$D:$E,2,FALSE),"")</f>
        <v/>
      </c>
      <c r="S78" t="str">
        <f>IFERROR(VLOOKUP(I78,categorieen!$D:$E,2,FALSE),"")</f>
        <v/>
      </c>
      <c r="T78" t="str">
        <f>IFERROR(VLOOKUP(J78,categorieen!$D:$E,2,FALSE),"")</f>
        <v/>
      </c>
    </row>
    <row r="79" spans="1:20" x14ac:dyDescent="0.25">
      <c r="A79" t="s">
        <v>122</v>
      </c>
      <c r="C79">
        <v>42</v>
      </c>
      <c r="D79">
        <v>14</v>
      </c>
      <c r="E79">
        <v>41</v>
      </c>
      <c r="M79" t="str">
        <f>IFERROR(VLOOKUP(C79,categorieen!$D:$E,2,FALSE),"")</f>
        <v>7 letters</v>
      </c>
      <c r="N79" t="str">
        <f>IFERROR(VLOOKUP(D79,categorieen!$D:$E,2,FALSE),"")</f>
        <v>Kasteel</v>
      </c>
      <c r="O79" t="str">
        <f>IFERROR(VLOOKUP(E79,categorieen!$D:$E,2,FALSE),"")</f>
        <v>Vught</v>
      </c>
      <c r="P79" t="str">
        <f>IFERROR(VLOOKUP(F79,categorieen!$D:$E,2,FALSE),"")</f>
        <v/>
      </c>
      <c r="Q79" t="str">
        <f>IFERROR(VLOOKUP(G79,categorieen!$D:$E,2,FALSE),"")</f>
        <v/>
      </c>
      <c r="R79" t="str">
        <f>IFERROR(VLOOKUP(H79,categorieen!$D:$E,2,FALSE),"")</f>
        <v/>
      </c>
      <c r="S79" t="str">
        <f>IFERROR(VLOOKUP(I79,categorieen!$D:$E,2,FALSE),"")</f>
        <v/>
      </c>
      <c r="T79" t="str">
        <f>IFERROR(VLOOKUP(J79,categorieen!$D:$E,2,FALSE),"")</f>
        <v/>
      </c>
    </row>
    <row r="80" spans="1:20" x14ac:dyDescent="0.25">
      <c r="A80" t="s">
        <v>123</v>
      </c>
      <c r="C80">
        <v>38</v>
      </c>
      <c r="D80">
        <v>5</v>
      </c>
      <c r="E80">
        <v>22</v>
      </c>
      <c r="M80" t="str">
        <f>IFERROR(VLOOKUP(C80,categorieen!$D:$E,2,FALSE),"")</f>
        <v>Sport</v>
      </c>
      <c r="N80" t="str">
        <f>IFERROR(VLOOKUP(D80,categorieen!$D:$E,2,FALSE),"")</f>
        <v>Bekende Brabanders</v>
      </c>
      <c r="O80" t="str">
        <f>IFERROR(VLOOKUP(E80,categorieen!$D:$E,2,FALSE),"")</f>
        <v>3x dezelfde letter</v>
      </c>
      <c r="P80" t="str">
        <f>IFERROR(VLOOKUP(F80,categorieen!$D:$E,2,FALSE),"")</f>
        <v/>
      </c>
      <c r="Q80" t="str">
        <f>IFERROR(VLOOKUP(G80,categorieen!$D:$E,2,FALSE),"")</f>
        <v/>
      </c>
      <c r="R80" t="str">
        <f>IFERROR(VLOOKUP(H80,categorieen!$D:$E,2,FALSE),"")</f>
        <v/>
      </c>
      <c r="S80" t="str">
        <f>IFERROR(VLOOKUP(I80,categorieen!$D:$E,2,FALSE),"")</f>
        <v/>
      </c>
      <c r="T80" t="str">
        <f>IFERROR(VLOOKUP(J80,categorieen!$D:$E,2,FALSE),"")</f>
        <v/>
      </c>
    </row>
    <row r="81" spans="1:20" x14ac:dyDescent="0.25">
      <c r="A81" t="s">
        <v>125</v>
      </c>
      <c r="C81">
        <v>19</v>
      </c>
      <c r="D81">
        <v>37</v>
      </c>
      <c r="E81">
        <v>13</v>
      </c>
      <c r="F81">
        <v>12</v>
      </c>
      <c r="M81" t="str">
        <f>IFERROR(VLOOKUP(C81,categorieen!$D:$E,2,FALSE),"")</f>
        <v>Natuur</v>
      </c>
      <c r="N81" t="str">
        <f>IFERROR(VLOOKUP(D81,categorieen!$D:$E,2,FALSE),"")</f>
        <v>s Hertogenbosch (DB)</v>
      </c>
      <c r="O81" t="str">
        <f>IFERROR(VLOOKUP(E81,categorieen!$D:$E,2,FALSE),"")</f>
        <v>Met dubbel T</v>
      </c>
      <c r="P81" t="str">
        <f>IFERROR(VLOOKUP(F81,categorieen!$D:$E,2,FALSE),"")</f>
        <v>Water</v>
      </c>
      <c r="Q81" t="str">
        <f>IFERROR(VLOOKUP(G81,categorieen!$D:$E,2,FALSE),"")</f>
        <v/>
      </c>
      <c r="R81" t="str">
        <f>IFERROR(VLOOKUP(H81,categorieen!$D:$E,2,FALSE),"")</f>
        <v/>
      </c>
      <c r="S81" t="str">
        <f>IFERROR(VLOOKUP(I81,categorieen!$D:$E,2,FALSE),"")</f>
        <v/>
      </c>
      <c r="T81" t="str">
        <f>IFERROR(VLOOKUP(J81,categorieen!$D:$E,2,FALSE),"")</f>
        <v/>
      </c>
    </row>
    <row r="82" spans="1:20" x14ac:dyDescent="0.25">
      <c r="A82" t="s">
        <v>126</v>
      </c>
      <c r="C82">
        <v>24</v>
      </c>
      <c r="D82">
        <v>38</v>
      </c>
      <c r="E82">
        <v>33</v>
      </c>
      <c r="F82">
        <v>23</v>
      </c>
      <c r="M82" t="str">
        <f>IFERROR(VLOOKUP(C82,categorieen!$D:$E,2,FALSE),"")</f>
        <v>3 of 4 letters</v>
      </c>
      <c r="N82" t="str">
        <f>IFERROR(VLOOKUP(D82,categorieen!$D:$E,2,FALSE),"")</f>
        <v>Sport</v>
      </c>
      <c r="O82" t="str">
        <f>IFERROR(VLOOKUP(E82,categorieen!$D:$E,2,FALSE),"")</f>
        <v>076 (Breda)</v>
      </c>
      <c r="P82" t="str">
        <f>IFERROR(VLOOKUP(F82,categorieen!$D:$E,2,FALSE),"")</f>
        <v>Begint met N</v>
      </c>
      <c r="Q82" t="str">
        <f>IFERROR(VLOOKUP(G82,categorieen!$D:$E,2,FALSE),"")</f>
        <v/>
      </c>
      <c r="R82" t="str">
        <f>IFERROR(VLOOKUP(H82,categorieen!$D:$E,2,FALSE),"")</f>
        <v/>
      </c>
      <c r="S82" t="str">
        <f>IFERROR(VLOOKUP(I82,categorieen!$D:$E,2,FALSE),"")</f>
        <v/>
      </c>
      <c r="T82" t="str">
        <f>IFERROR(VLOOKUP(J82,categorieen!$D:$E,2,FALSE),"")</f>
        <v/>
      </c>
    </row>
    <row r="83" spans="1:20" x14ac:dyDescent="0.25">
      <c r="A83" t="s">
        <v>130</v>
      </c>
      <c r="C83">
        <v>14</v>
      </c>
      <c r="D83">
        <v>23</v>
      </c>
      <c r="E83">
        <v>2</v>
      </c>
      <c r="M83" t="str">
        <f>IFERROR(VLOOKUP(C83,categorieen!$D:$E,2,FALSE),"")</f>
        <v>Kasteel</v>
      </c>
      <c r="N83" t="str">
        <f>IFERROR(VLOOKUP(D83,categorieen!$D:$E,2,FALSE),"")</f>
        <v>Begint met N</v>
      </c>
      <c r="O83" t="str">
        <f>IFERROR(VLOOKUP(E83,categorieen!$D:$E,2,FALSE),"")</f>
        <v>(stand)beeld / (Rijks)monument</v>
      </c>
      <c r="P83" t="str">
        <f>IFERROR(VLOOKUP(F83,categorieen!$D:$E,2,FALSE),"")</f>
        <v/>
      </c>
      <c r="Q83" t="str">
        <f>IFERROR(VLOOKUP(G83,categorieen!$D:$E,2,FALSE),"")</f>
        <v/>
      </c>
      <c r="R83" t="str">
        <f>IFERROR(VLOOKUP(H83,categorieen!$D:$E,2,FALSE),"")</f>
        <v/>
      </c>
      <c r="S83" t="str">
        <f>IFERROR(VLOOKUP(I83,categorieen!$D:$E,2,FALSE),"")</f>
        <v/>
      </c>
      <c r="T83" t="str">
        <f>IFERROR(VLOOKUP(J83,categorieen!$D:$E,2,FALSE),"")</f>
        <v/>
      </c>
    </row>
    <row r="84" spans="1:20" x14ac:dyDescent="0.25">
      <c r="A84" t="s">
        <v>131</v>
      </c>
      <c r="C84">
        <v>23</v>
      </c>
      <c r="D84">
        <v>21</v>
      </c>
      <c r="M84" t="str">
        <f>IFERROR(VLOOKUP(C84,categorieen!$D:$E,2,FALSE),"")</f>
        <v>Begint met N</v>
      </c>
      <c r="N84" t="str">
        <f>IFERROR(VLOOKUP(D84,categorieen!$D:$E,2,FALSE),"")</f>
        <v>West Brabant</v>
      </c>
      <c r="O84" t="str">
        <f>IFERROR(VLOOKUP(E84,categorieen!$D:$E,2,FALSE),"")</f>
        <v/>
      </c>
      <c r="P84" t="str">
        <f>IFERROR(VLOOKUP(F84,categorieen!$D:$E,2,FALSE),"")</f>
        <v/>
      </c>
      <c r="Q84" t="str">
        <f>IFERROR(VLOOKUP(G84,categorieen!$D:$E,2,FALSE),"")</f>
        <v/>
      </c>
      <c r="R84" t="str">
        <f>IFERROR(VLOOKUP(H84,categorieen!$D:$E,2,FALSE),"")</f>
        <v/>
      </c>
      <c r="S84" t="str">
        <f>IFERROR(VLOOKUP(I84,categorieen!$D:$E,2,FALSE),"")</f>
        <v/>
      </c>
      <c r="T84" t="str">
        <f>IFERROR(VLOOKUP(J84,categorieen!$D:$E,2,FALSE),"")</f>
        <v/>
      </c>
    </row>
    <row r="85" spans="1:20" x14ac:dyDescent="0.25">
      <c r="A85" t="s">
        <v>132</v>
      </c>
      <c r="C85">
        <v>23</v>
      </c>
      <c r="D85">
        <v>4</v>
      </c>
      <c r="E85">
        <v>16</v>
      </c>
      <c r="M85" t="str">
        <f>IFERROR(VLOOKUP(C85,categorieen!$D:$E,2,FALSE),"")</f>
        <v>Begint met N</v>
      </c>
      <c r="N85" t="str">
        <f>IFERROR(VLOOKUP(D85,categorieen!$D:$E,2,FALSE),"")</f>
        <v>Zes letters</v>
      </c>
      <c r="O85" t="str">
        <f>IFERROR(VLOOKUP(E85,categorieen!$D:$E,2,FALSE),"")</f>
        <v>Buurtschap</v>
      </c>
      <c r="P85" t="str">
        <f>IFERROR(VLOOKUP(F85,categorieen!$D:$E,2,FALSE),"")</f>
        <v/>
      </c>
      <c r="Q85" t="str">
        <f>IFERROR(VLOOKUP(G85,categorieen!$D:$E,2,FALSE),"")</f>
        <v/>
      </c>
      <c r="R85" t="str">
        <f>IFERROR(VLOOKUP(H85,categorieen!$D:$E,2,FALSE),"")</f>
        <v/>
      </c>
      <c r="S85" t="str">
        <f>IFERROR(VLOOKUP(I85,categorieen!$D:$E,2,FALSE),"")</f>
        <v/>
      </c>
      <c r="T85" t="str">
        <f>IFERROR(VLOOKUP(J85,categorieen!$D:$E,2,FALSE),"")</f>
        <v/>
      </c>
    </row>
    <row r="86" spans="1:20" x14ac:dyDescent="0.25">
      <c r="A86" t="s">
        <v>133</v>
      </c>
      <c r="C86">
        <v>23</v>
      </c>
      <c r="D86">
        <v>34</v>
      </c>
      <c r="M86" t="str">
        <f>IFERROR(VLOOKUP(C86,categorieen!$D:$E,2,FALSE),"")</f>
        <v>Begint met N</v>
      </c>
      <c r="N86" t="str">
        <f>IFERROR(VLOOKUP(D86,categorieen!$D:$E,2,FALSE),"")</f>
        <v>Met 4 Wieken</v>
      </c>
      <c r="O86" t="str">
        <f>IFERROR(VLOOKUP(E86,categorieen!$D:$E,2,FALSE),"")</f>
        <v/>
      </c>
      <c r="P86" t="str">
        <f>IFERROR(VLOOKUP(F86,categorieen!$D:$E,2,FALSE),"")</f>
        <v/>
      </c>
      <c r="Q86" t="str">
        <f>IFERROR(VLOOKUP(G86,categorieen!$D:$E,2,FALSE),"")</f>
        <v/>
      </c>
      <c r="R86" t="str">
        <f>IFERROR(VLOOKUP(H86,categorieen!$D:$E,2,FALSE),"")</f>
        <v/>
      </c>
      <c r="S86" t="str">
        <f>IFERROR(VLOOKUP(I86,categorieen!$D:$E,2,FALSE),"")</f>
        <v/>
      </c>
      <c r="T86" t="str">
        <f>IFERROR(VLOOKUP(J86,categorieen!$D:$E,2,FALSE),"")</f>
        <v/>
      </c>
    </row>
    <row r="87" spans="1:20" x14ac:dyDescent="0.25">
      <c r="A87" t="s">
        <v>134</v>
      </c>
      <c r="C87">
        <v>23</v>
      </c>
      <c r="D87">
        <v>22</v>
      </c>
      <c r="E87">
        <v>16</v>
      </c>
      <c r="M87" t="str">
        <f>IFERROR(VLOOKUP(C87,categorieen!$D:$E,2,FALSE),"")</f>
        <v>Begint met N</v>
      </c>
      <c r="N87" t="str">
        <f>IFERROR(VLOOKUP(D87,categorieen!$D:$E,2,FALSE),"")</f>
        <v>3x dezelfde letter</v>
      </c>
      <c r="O87" t="str">
        <f>IFERROR(VLOOKUP(E87,categorieen!$D:$E,2,FALSE),"")</f>
        <v>Buurtschap</v>
      </c>
      <c r="P87" t="str">
        <f>IFERROR(VLOOKUP(F87,categorieen!$D:$E,2,FALSE),"")</f>
        <v/>
      </c>
      <c r="Q87" t="str">
        <f>IFERROR(VLOOKUP(G87,categorieen!$D:$E,2,FALSE),"")</f>
        <v/>
      </c>
      <c r="R87" t="str">
        <f>IFERROR(VLOOKUP(H87,categorieen!$D:$E,2,FALSE),"")</f>
        <v/>
      </c>
      <c r="S87" t="str">
        <f>IFERROR(VLOOKUP(I87,categorieen!$D:$E,2,FALSE),"")</f>
        <v/>
      </c>
      <c r="T87" t="str">
        <f>IFERROR(VLOOKUP(J87,categorieen!$D:$E,2,FALSE),"")</f>
        <v/>
      </c>
    </row>
    <row r="88" spans="1:20" x14ac:dyDescent="0.25">
      <c r="A88" t="s">
        <v>135</v>
      </c>
      <c r="C88">
        <v>23</v>
      </c>
      <c r="D88">
        <v>42</v>
      </c>
      <c r="E88">
        <v>1</v>
      </c>
      <c r="F88">
        <v>8</v>
      </c>
      <c r="G88">
        <v>4</v>
      </c>
      <c r="M88" t="str">
        <f>IFERROR(VLOOKUP(C88,categorieen!$D:$E,2,FALSE),"")</f>
        <v>Begint met N</v>
      </c>
      <c r="N88" t="str">
        <f>IFERROR(VLOOKUP(D88,categorieen!$D:$E,2,FALSE),"")</f>
        <v>7 letters</v>
      </c>
      <c r="O88" t="str">
        <f>IFERROR(VLOOKUP(E88,categorieen!$D:$E,2,FALSE),"")</f>
        <v>Eerste- en Eindletter hetzelfde</v>
      </c>
      <c r="P88" t="str">
        <f>IFERROR(VLOOKUP(F88,categorieen!$D:$E,2,FALSE),"")</f>
        <v>040 (Eindhoven)</v>
      </c>
      <c r="Q88" t="str">
        <f>IFERROR(VLOOKUP(G88,categorieen!$D:$E,2,FALSE),"")</f>
        <v>Zes letters</v>
      </c>
      <c r="R88" t="str">
        <f>IFERROR(VLOOKUP(H88,categorieen!$D:$E,2,FALSE),"")</f>
        <v/>
      </c>
      <c r="S88" t="str">
        <f>IFERROR(VLOOKUP(I88,categorieen!$D:$E,2,FALSE),"")</f>
        <v/>
      </c>
      <c r="T88" t="str">
        <f>IFERROR(VLOOKUP(J88,categorieen!$D:$E,2,FALSE),"")</f>
        <v/>
      </c>
    </row>
    <row r="89" spans="1:20" x14ac:dyDescent="0.25">
      <c r="A89" t="s">
        <v>136</v>
      </c>
      <c r="C89">
        <v>37</v>
      </c>
      <c r="D89">
        <v>12</v>
      </c>
      <c r="E89">
        <v>19</v>
      </c>
      <c r="M89" t="str">
        <f>IFERROR(VLOOKUP(C89,categorieen!$D:$E,2,FALSE),"")</f>
        <v>s Hertogenbosch (DB)</v>
      </c>
      <c r="N89" t="str">
        <f>IFERROR(VLOOKUP(D89,categorieen!$D:$E,2,FALSE),"")</f>
        <v>Water</v>
      </c>
      <c r="O89" t="str">
        <f>IFERROR(VLOOKUP(E89,categorieen!$D:$E,2,FALSE),"")</f>
        <v>Natuur</v>
      </c>
      <c r="P89" t="str">
        <f>IFERROR(VLOOKUP(F89,categorieen!$D:$E,2,FALSE),"")</f>
        <v/>
      </c>
      <c r="Q89" t="str">
        <f>IFERROR(VLOOKUP(G89,categorieen!$D:$E,2,FALSE),"")</f>
        <v/>
      </c>
      <c r="R89" t="str">
        <f>IFERROR(VLOOKUP(H89,categorieen!$D:$E,2,FALSE),"")</f>
        <v/>
      </c>
      <c r="S89" t="str">
        <f>IFERROR(VLOOKUP(I89,categorieen!$D:$E,2,FALSE),"")</f>
        <v/>
      </c>
      <c r="T89" t="str">
        <f>IFERROR(VLOOKUP(J89,categorieen!$D:$E,2,FALSE),"")</f>
        <v/>
      </c>
    </row>
    <row r="90" spans="1:20" x14ac:dyDescent="0.25">
      <c r="A90" t="s">
        <v>137</v>
      </c>
      <c r="C90">
        <v>24</v>
      </c>
      <c r="D90">
        <v>17</v>
      </c>
      <c r="E90">
        <v>43</v>
      </c>
      <c r="M90" t="str">
        <f>IFERROR(VLOOKUP(C90,categorieen!$D:$E,2,FALSE),"")</f>
        <v>3 of 4 letters</v>
      </c>
      <c r="N90" t="str">
        <f>IFERROR(VLOOKUP(D90,categorieen!$D:$E,2,FALSE),"")</f>
        <v>Met dubbel s</v>
      </c>
      <c r="O90" t="str">
        <f>IFERROR(VLOOKUP(E90,categorieen!$D:$E,2,FALSE),"")</f>
        <v>Dierlijk</v>
      </c>
      <c r="P90" t="str">
        <f>IFERROR(VLOOKUP(F90,categorieen!$D:$E,2,FALSE),"")</f>
        <v/>
      </c>
      <c r="Q90" t="str">
        <f>IFERROR(VLOOKUP(G90,categorieen!$D:$E,2,FALSE),"")</f>
        <v/>
      </c>
      <c r="R90" t="str">
        <f>IFERROR(VLOOKUP(H90,categorieen!$D:$E,2,FALSE),"")</f>
        <v/>
      </c>
      <c r="S90" t="str">
        <f>IFERROR(VLOOKUP(I90,categorieen!$D:$E,2,FALSE),"")</f>
        <v/>
      </c>
      <c r="T90" t="str">
        <f>IFERROR(VLOOKUP(J90,categorieen!$D:$E,2,FALSE),"")</f>
        <v/>
      </c>
    </row>
    <row r="91" spans="1:20" x14ac:dyDescent="0.25">
      <c r="A91" s="7" t="s">
        <v>185</v>
      </c>
      <c r="C91" s="4">
        <v>20</v>
      </c>
      <c r="D91" s="4">
        <v>1</v>
      </c>
      <c r="M91" t="str">
        <f>IFERROR(VLOOKUP(C91,categorieen!$D:$E,2,FALSE),"")</f>
        <v>Festival</v>
      </c>
      <c r="N91" t="str">
        <f>IFERROR(VLOOKUP(D91,categorieen!$D:$E,2,FALSE),"")</f>
        <v>Eerste- en Eindletter hetzelfde</v>
      </c>
      <c r="O91" t="str">
        <f>IFERROR(VLOOKUP(E91,categorieen!$D:$E,2,FALSE),"")</f>
        <v/>
      </c>
      <c r="P91" t="str">
        <f>IFERROR(VLOOKUP(F91,categorieen!$D:$E,2,FALSE),"")</f>
        <v/>
      </c>
      <c r="Q91" t="str">
        <f>IFERROR(VLOOKUP(G91,categorieen!$D:$E,2,FALSE),"")</f>
        <v/>
      </c>
      <c r="R91" t="str">
        <f>IFERROR(VLOOKUP(H91,categorieen!$D:$E,2,FALSE),"")</f>
        <v/>
      </c>
      <c r="S91" t="str">
        <f>IFERROR(VLOOKUP(I91,categorieen!$D:$E,2,FALSE),"")</f>
        <v/>
      </c>
      <c r="T91" t="str">
        <f>IFERROR(VLOOKUP(J91,categorieen!$D:$E,2,FALSE),"")</f>
        <v/>
      </c>
    </row>
    <row r="92" spans="1:20" x14ac:dyDescent="0.25">
      <c r="A92" t="s">
        <v>138</v>
      </c>
      <c r="C92">
        <v>1</v>
      </c>
      <c r="D92">
        <v>8</v>
      </c>
      <c r="E92">
        <v>39</v>
      </c>
      <c r="M92" t="str">
        <f>IFERROR(VLOOKUP(C92,categorieen!$D:$E,2,FALSE),"")</f>
        <v>Eerste- en Eindletter hetzelfde</v>
      </c>
      <c r="N92" t="str">
        <f>IFERROR(VLOOKUP(D92,categorieen!$D:$E,2,FALSE),"")</f>
        <v>040 (Eindhoven)</v>
      </c>
      <c r="O92" t="str">
        <f>IFERROR(VLOOKUP(E92,categorieen!$D:$E,2,FALSE),"")</f>
        <v>Theater</v>
      </c>
      <c r="P92" t="str">
        <f>IFERROR(VLOOKUP(F92,categorieen!$D:$E,2,FALSE),"")</f>
        <v/>
      </c>
      <c r="Q92" t="str">
        <f>IFERROR(VLOOKUP(G92,categorieen!$D:$E,2,FALSE),"")</f>
        <v/>
      </c>
      <c r="R92" t="str">
        <f>IFERROR(VLOOKUP(H92,categorieen!$D:$E,2,FALSE),"")</f>
        <v/>
      </c>
      <c r="S92" t="str">
        <f>IFERROR(VLOOKUP(I92,categorieen!$D:$E,2,FALSE),"")</f>
        <v/>
      </c>
      <c r="T92" t="str">
        <f>IFERROR(VLOOKUP(J92,categorieen!$D:$E,2,FALSE),"")</f>
        <v/>
      </c>
    </row>
    <row r="93" spans="1:20" x14ac:dyDescent="0.25">
      <c r="A93" t="s">
        <v>139</v>
      </c>
      <c r="C93">
        <v>20</v>
      </c>
      <c r="D93">
        <v>31</v>
      </c>
      <c r="E93">
        <v>1</v>
      </c>
      <c r="M93" t="str">
        <f>IFERROR(VLOOKUP(C93,categorieen!$D:$E,2,FALSE),"")</f>
        <v>Festival</v>
      </c>
      <c r="N93" t="str">
        <f>IFERROR(VLOOKUP(D93,categorieen!$D:$E,2,FALSE),"")</f>
        <v>Kleurrijk</v>
      </c>
      <c r="O93" t="str">
        <f>IFERROR(VLOOKUP(E93,categorieen!$D:$E,2,FALSE),"")</f>
        <v>Eerste- en Eindletter hetzelfde</v>
      </c>
      <c r="P93" t="str">
        <f>IFERROR(VLOOKUP(F93,categorieen!$D:$E,2,FALSE),"")</f>
        <v/>
      </c>
      <c r="Q93" t="str">
        <f>IFERROR(VLOOKUP(G93,categorieen!$D:$E,2,FALSE),"")</f>
        <v/>
      </c>
      <c r="R93" t="str">
        <f>IFERROR(VLOOKUP(H93,categorieen!$D:$E,2,FALSE),"")</f>
        <v/>
      </c>
      <c r="S93" t="str">
        <f>IFERROR(VLOOKUP(I93,categorieen!$D:$E,2,FALSE),"")</f>
        <v/>
      </c>
      <c r="T93" t="str">
        <f>IFERROR(VLOOKUP(J93,categorieen!$D:$E,2,FALSE),"")</f>
        <v/>
      </c>
    </row>
    <row r="94" spans="1:20" x14ac:dyDescent="0.25">
      <c r="A94" t="s">
        <v>140</v>
      </c>
      <c r="C94">
        <v>7</v>
      </c>
      <c r="D94">
        <v>4</v>
      </c>
      <c r="M94" t="str">
        <f>IFERROR(VLOOKUP(C94,categorieen!$D:$E,2,FALSE),"")</f>
        <v>Alaaf</v>
      </c>
      <c r="N94" t="str">
        <f>IFERROR(VLOOKUP(D94,categorieen!$D:$E,2,FALSE),"")</f>
        <v>Zes letters</v>
      </c>
      <c r="O94" t="str">
        <f>IFERROR(VLOOKUP(E94,categorieen!$D:$E,2,FALSE),"")</f>
        <v/>
      </c>
      <c r="P94" t="str">
        <f>IFERROR(VLOOKUP(F94,categorieen!$D:$E,2,FALSE),"")</f>
        <v/>
      </c>
      <c r="Q94" t="str">
        <f>IFERROR(VLOOKUP(G94,categorieen!$D:$E,2,FALSE),"")</f>
        <v/>
      </c>
      <c r="R94" t="str">
        <f>IFERROR(VLOOKUP(H94,categorieen!$D:$E,2,FALSE),"")</f>
        <v/>
      </c>
      <c r="S94" t="str">
        <f>IFERROR(VLOOKUP(I94,categorieen!$D:$E,2,FALSE),"")</f>
        <v/>
      </c>
      <c r="T94" t="str">
        <f>IFERROR(VLOOKUP(J94,categorieen!$D:$E,2,FALSE),"")</f>
        <v/>
      </c>
    </row>
    <row r="95" spans="1:20" x14ac:dyDescent="0.25">
      <c r="A95" t="s">
        <v>141</v>
      </c>
      <c r="C95">
        <v>30</v>
      </c>
      <c r="D95">
        <v>7</v>
      </c>
      <c r="M95" t="str">
        <f>IFERROR(VLOOKUP(C95,categorieen!$D:$E,2,FALSE),"")</f>
        <v>In de volksmond (IDV)</v>
      </c>
      <c r="N95" t="str">
        <f>IFERROR(VLOOKUP(D95,categorieen!$D:$E,2,FALSE),"")</f>
        <v>Alaaf</v>
      </c>
      <c r="O95" t="str">
        <f>IFERROR(VLOOKUP(E95,categorieen!$D:$E,2,FALSE),"")</f>
        <v/>
      </c>
      <c r="P95" t="str">
        <f>IFERROR(VLOOKUP(F95,categorieen!$D:$E,2,FALSE),"")</f>
        <v/>
      </c>
      <c r="Q95" t="str">
        <f>IFERROR(VLOOKUP(G95,categorieen!$D:$E,2,FALSE),"")</f>
        <v/>
      </c>
      <c r="R95" t="str">
        <f>IFERROR(VLOOKUP(H95,categorieen!$D:$E,2,FALSE),"")</f>
        <v/>
      </c>
      <c r="S95" t="str">
        <f>IFERROR(VLOOKUP(I95,categorieen!$D:$E,2,FALSE),"")</f>
        <v/>
      </c>
      <c r="T95" t="str">
        <f>IFERROR(VLOOKUP(J95,categorieen!$D:$E,2,FALSE),"")</f>
        <v/>
      </c>
    </row>
    <row r="96" spans="1:20" x14ac:dyDescent="0.25">
      <c r="A96" t="s">
        <v>142</v>
      </c>
      <c r="C96">
        <v>28</v>
      </c>
      <c r="D96">
        <v>11</v>
      </c>
      <c r="E96">
        <v>22</v>
      </c>
      <c r="M96" t="str">
        <f>IFERROR(VLOOKUP(C96,categorieen!$D:$E,2,FALSE),"")</f>
        <v>Heilige</v>
      </c>
      <c r="N96" t="str">
        <f>IFERROR(VLOOKUP(D96,categorieen!$D:$E,2,FALSE),"")</f>
        <v>Tilburg</v>
      </c>
      <c r="O96" t="str">
        <f>IFERROR(VLOOKUP(E96,categorieen!$D:$E,2,FALSE),"")</f>
        <v>3x dezelfde letter</v>
      </c>
      <c r="P96" t="str">
        <f>IFERROR(VLOOKUP(F96,categorieen!$D:$E,2,FALSE),"")</f>
        <v/>
      </c>
      <c r="Q96" t="str">
        <f>IFERROR(VLOOKUP(G96,categorieen!$D:$E,2,FALSE),"")</f>
        <v/>
      </c>
      <c r="R96" t="str">
        <f>IFERROR(VLOOKUP(H96,categorieen!$D:$E,2,FALSE),"")</f>
        <v/>
      </c>
      <c r="S96" t="str">
        <f>IFERROR(VLOOKUP(I96,categorieen!$D:$E,2,FALSE),"")</f>
        <v/>
      </c>
      <c r="T96" t="str">
        <f>IFERROR(VLOOKUP(J96,categorieen!$D:$E,2,FALSE),"")</f>
        <v/>
      </c>
    </row>
    <row r="97" spans="1:20" x14ac:dyDescent="0.25">
      <c r="A97" t="s">
        <v>191</v>
      </c>
      <c r="C97">
        <v>38</v>
      </c>
      <c r="D97">
        <v>35</v>
      </c>
      <c r="E97">
        <v>18</v>
      </c>
      <c r="F97">
        <v>17</v>
      </c>
      <c r="G97">
        <v>43</v>
      </c>
      <c r="M97" t="str">
        <f>IFERROR(VLOOKUP(C97,categorieen!$D:$E,2,FALSE),"")</f>
        <v>Sport</v>
      </c>
      <c r="N97" t="str">
        <f>IFERROR(VLOOKUP(D97,categorieen!$D:$E,2,FALSE),"")</f>
        <v>Parel in het Groen (PITG)</v>
      </c>
      <c r="O97" t="str">
        <f>IFERROR(VLOOKUP(E97,categorieen!$D:$E,2,FALSE),"")</f>
        <v>Willem II</v>
      </c>
      <c r="P97" t="str">
        <f>IFERROR(VLOOKUP(F97,categorieen!$D:$E,2,FALSE),"")</f>
        <v>Met dubbel s</v>
      </c>
      <c r="Q97" t="str">
        <f>IFERROR(VLOOKUP(G97,categorieen!$D:$E,2,FALSE),"")</f>
        <v>Dierlijk</v>
      </c>
      <c r="R97" t="str">
        <f>IFERROR(VLOOKUP(H97,categorieen!$D:$E,2,FALSE),"")</f>
        <v/>
      </c>
      <c r="S97" t="str">
        <f>IFERROR(VLOOKUP(I97,categorieen!$D:$E,2,FALSE),"")</f>
        <v/>
      </c>
      <c r="T97" t="str">
        <f>IFERROR(VLOOKUP(J97,categorieen!$D:$E,2,FALSE),"")</f>
        <v/>
      </c>
    </row>
    <row r="98" spans="1:20" x14ac:dyDescent="0.25">
      <c r="A98" t="s">
        <v>143</v>
      </c>
      <c r="C98">
        <v>15</v>
      </c>
      <c r="D98">
        <v>36</v>
      </c>
      <c r="E98">
        <v>9</v>
      </c>
      <c r="M98" t="str">
        <f>IFERROR(VLOOKUP(C98,categorieen!$D:$E,2,FALSE),"")</f>
        <v>Getal/Cijfer</v>
      </c>
      <c r="N98" t="str">
        <f>IFERROR(VLOOKUP(D98,categorieen!$D:$E,2,FALSE),"")</f>
        <v>Plein</v>
      </c>
      <c r="O98" t="str">
        <f>IFERROR(VLOOKUP(E98,categorieen!$D:$E,2,FALSE),"")</f>
        <v>Kiosk</v>
      </c>
      <c r="P98" t="str">
        <f>IFERROR(VLOOKUP(F98,categorieen!$D:$E,2,FALSE),"")</f>
        <v/>
      </c>
      <c r="Q98" t="str">
        <f>IFERROR(VLOOKUP(G98,categorieen!$D:$E,2,FALSE),"")</f>
        <v/>
      </c>
      <c r="R98" t="str">
        <f>IFERROR(VLOOKUP(H98,categorieen!$D:$E,2,FALSE),"")</f>
        <v/>
      </c>
      <c r="S98" t="str">
        <f>IFERROR(VLOOKUP(I98,categorieen!$D:$E,2,FALSE),"")</f>
        <v/>
      </c>
      <c r="T98" t="str">
        <f>IFERROR(VLOOKUP(J98,categorieen!$D:$E,2,FALSE),"")</f>
        <v/>
      </c>
    </row>
    <row r="99" spans="1:20" x14ac:dyDescent="0.25">
      <c r="A99" t="s">
        <v>144</v>
      </c>
      <c r="C99">
        <v>7</v>
      </c>
      <c r="D99">
        <v>40</v>
      </c>
      <c r="M99" t="str">
        <f>IFERROR(VLOOKUP(C99,categorieen!$D:$E,2,FALSE),"")</f>
        <v>Alaaf</v>
      </c>
      <c r="N99" t="str">
        <f>IFERROR(VLOOKUP(D99,categorieen!$D:$E,2,FALSE),"")</f>
        <v>Typisch Brabants (TB)</v>
      </c>
      <c r="O99" t="str">
        <f>IFERROR(VLOOKUP(E99,categorieen!$D:$E,2,FALSE),"")</f>
        <v/>
      </c>
      <c r="P99" t="str">
        <f>IFERROR(VLOOKUP(F99,categorieen!$D:$E,2,FALSE),"")</f>
        <v/>
      </c>
      <c r="Q99" t="str">
        <f>IFERROR(VLOOKUP(G99,categorieen!$D:$E,2,FALSE),"")</f>
        <v/>
      </c>
      <c r="R99" t="str">
        <f>IFERROR(VLOOKUP(H99,categorieen!$D:$E,2,FALSE),"")</f>
        <v/>
      </c>
      <c r="S99" t="str">
        <f>IFERROR(VLOOKUP(I99,categorieen!$D:$E,2,FALSE),"")</f>
        <v/>
      </c>
      <c r="T99" t="str">
        <f>IFERROR(VLOOKUP(J99,categorieen!$D:$E,2,FALSE),"")</f>
        <v/>
      </c>
    </row>
    <row r="100" spans="1:20" ht="30" x14ac:dyDescent="0.25">
      <c r="A100" t="s">
        <v>145</v>
      </c>
      <c r="B100" s="3" t="s">
        <v>147</v>
      </c>
      <c r="C100">
        <v>5</v>
      </c>
      <c r="D100">
        <v>7</v>
      </c>
      <c r="E100">
        <v>8</v>
      </c>
      <c r="F100">
        <v>43</v>
      </c>
      <c r="M100" t="str">
        <f>IFERROR(VLOOKUP(C100,categorieen!$D:$E,2,FALSE),"")</f>
        <v>Bekende Brabanders</v>
      </c>
      <c r="N100" t="str">
        <f>IFERROR(VLOOKUP(D100,categorieen!$D:$E,2,FALSE),"")</f>
        <v>Alaaf</v>
      </c>
      <c r="O100" t="str">
        <f>IFERROR(VLOOKUP(E100,categorieen!$D:$E,2,FALSE),"")</f>
        <v>040 (Eindhoven)</v>
      </c>
      <c r="P100" t="str">
        <f>IFERROR(VLOOKUP(F100,categorieen!$D:$E,2,FALSE),"")</f>
        <v>Dierlijk</v>
      </c>
      <c r="Q100" t="str">
        <f>IFERROR(VLOOKUP(G100,categorieen!$D:$E,2,FALSE),"")</f>
        <v/>
      </c>
      <c r="R100" t="str">
        <f>IFERROR(VLOOKUP(H100,categorieen!$D:$E,2,FALSE),"")</f>
        <v/>
      </c>
      <c r="S100" t="str">
        <f>IFERROR(VLOOKUP(I100,categorieen!$D:$E,2,FALSE),"")</f>
        <v/>
      </c>
      <c r="T100" t="str">
        <f>IFERROR(VLOOKUP(J100,categorieen!$D:$E,2,FALSE),"")</f>
        <v/>
      </c>
    </row>
    <row r="101" spans="1:20" x14ac:dyDescent="0.25">
      <c r="A101" t="s">
        <v>146</v>
      </c>
      <c r="C101">
        <v>27</v>
      </c>
      <c r="D101">
        <v>17</v>
      </c>
      <c r="E101">
        <v>21</v>
      </c>
      <c r="F101">
        <v>42</v>
      </c>
      <c r="M101" t="str">
        <f>IFERROR(VLOOKUP(C101,categorieen!$D:$E,2,FALSE),"")</f>
        <v>Eten en Drinken (ED)</v>
      </c>
      <c r="N101" t="str">
        <f>IFERROR(VLOOKUP(D101,categorieen!$D:$E,2,FALSE),"")</f>
        <v>Met dubbel s</v>
      </c>
      <c r="O101" t="str">
        <f>IFERROR(VLOOKUP(E101,categorieen!$D:$E,2,FALSE),"")</f>
        <v>West Brabant</v>
      </c>
      <c r="P101" t="str">
        <f>IFERROR(VLOOKUP(F101,categorieen!$D:$E,2,FALSE),"")</f>
        <v>7 letters</v>
      </c>
      <c r="Q101" t="str">
        <f>IFERROR(VLOOKUP(G101,categorieen!$D:$E,2,FALSE),"")</f>
        <v/>
      </c>
      <c r="R101" t="str">
        <f>IFERROR(VLOOKUP(H101,categorieen!$D:$E,2,FALSE),"")</f>
        <v/>
      </c>
      <c r="S101" t="str">
        <f>IFERROR(VLOOKUP(I101,categorieen!$D:$E,2,FALSE),"")</f>
        <v/>
      </c>
      <c r="T101" t="str">
        <f>IFERROR(VLOOKUP(J101,categorieen!$D:$E,2,FALSE),"")</f>
        <v/>
      </c>
    </row>
    <row r="102" spans="1:20" x14ac:dyDescent="0.25">
      <c r="A102" t="s">
        <v>148</v>
      </c>
      <c r="C102">
        <v>18</v>
      </c>
      <c r="D102">
        <v>38</v>
      </c>
      <c r="E102">
        <v>22</v>
      </c>
      <c r="M102" t="str">
        <f>IFERROR(VLOOKUP(C102,categorieen!$D:$E,2,FALSE),"")</f>
        <v>Willem II</v>
      </c>
      <c r="N102" t="str">
        <f>IFERROR(VLOOKUP(D102,categorieen!$D:$E,2,FALSE),"")</f>
        <v>Sport</v>
      </c>
      <c r="O102" t="str">
        <f>IFERROR(VLOOKUP(E102,categorieen!$D:$E,2,FALSE),"")</f>
        <v>3x dezelfde letter</v>
      </c>
      <c r="P102" t="str">
        <f>IFERROR(VLOOKUP(F102,categorieen!$D:$E,2,FALSE),"")</f>
        <v/>
      </c>
      <c r="Q102" t="str">
        <f>IFERROR(VLOOKUP(G102,categorieen!$D:$E,2,FALSE),"")</f>
        <v/>
      </c>
      <c r="R102" t="str">
        <f>IFERROR(VLOOKUP(H102,categorieen!$D:$E,2,FALSE),"")</f>
        <v/>
      </c>
      <c r="S102" t="str">
        <f>IFERROR(VLOOKUP(I102,categorieen!$D:$E,2,FALSE),"")</f>
        <v/>
      </c>
      <c r="T102" t="str">
        <f>IFERROR(VLOOKUP(J102,categorieen!$D:$E,2,FALSE),"")</f>
        <v/>
      </c>
    </row>
    <row r="103" spans="1:20" x14ac:dyDescent="0.25">
      <c r="A103" t="s">
        <v>149</v>
      </c>
      <c r="C103">
        <v>24</v>
      </c>
      <c r="D103">
        <v>30</v>
      </c>
      <c r="M103" t="str">
        <f>IFERROR(VLOOKUP(C103,categorieen!$D:$E,2,FALSE),"")</f>
        <v>3 of 4 letters</v>
      </c>
      <c r="N103" t="str">
        <f>IFERROR(VLOOKUP(D103,categorieen!$D:$E,2,FALSE),"")</f>
        <v>In de volksmond (IDV)</v>
      </c>
      <c r="O103" t="str">
        <f>IFERROR(VLOOKUP(E103,categorieen!$D:$E,2,FALSE),"")</f>
        <v/>
      </c>
      <c r="P103" t="str">
        <f>IFERROR(VLOOKUP(F103,categorieen!$D:$E,2,FALSE),"")</f>
        <v/>
      </c>
      <c r="Q103" t="str">
        <f>IFERROR(VLOOKUP(G103,categorieen!$D:$E,2,FALSE),"")</f>
        <v/>
      </c>
      <c r="R103" t="str">
        <f>IFERROR(VLOOKUP(H103,categorieen!$D:$E,2,FALSE),"")</f>
        <v/>
      </c>
      <c r="S103" t="str">
        <f>IFERROR(VLOOKUP(I103,categorieen!$D:$E,2,FALSE),"")</f>
        <v/>
      </c>
      <c r="T103" t="str">
        <f>IFERROR(VLOOKUP(J103,categorieen!$D:$E,2,FALSE),"")</f>
        <v/>
      </c>
    </row>
    <row r="104" spans="1:20" x14ac:dyDescent="0.25">
      <c r="A104" t="s">
        <v>150</v>
      </c>
      <c r="C104">
        <v>11</v>
      </c>
      <c r="D104">
        <v>22</v>
      </c>
      <c r="E104">
        <v>20</v>
      </c>
      <c r="M104" t="str">
        <f>IFERROR(VLOOKUP(C104,categorieen!$D:$E,2,FALSE),"")</f>
        <v>Tilburg</v>
      </c>
      <c r="N104" t="str">
        <f>IFERROR(VLOOKUP(D104,categorieen!$D:$E,2,FALSE),"")</f>
        <v>3x dezelfde letter</v>
      </c>
      <c r="O104" t="str">
        <f>IFERROR(VLOOKUP(E104,categorieen!$D:$E,2,FALSE),"")</f>
        <v>Festival</v>
      </c>
      <c r="P104" t="str">
        <f>IFERROR(VLOOKUP(F104,categorieen!$D:$E,2,FALSE),"")</f>
        <v/>
      </c>
      <c r="Q104" t="str">
        <f>IFERROR(VLOOKUP(G104,categorieen!$D:$E,2,FALSE),"")</f>
        <v/>
      </c>
      <c r="R104" t="str">
        <f>IFERROR(VLOOKUP(H104,categorieen!$D:$E,2,FALSE),"")</f>
        <v/>
      </c>
      <c r="S104" t="str">
        <f>IFERROR(VLOOKUP(I104,categorieen!$D:$E,2,FALSE),"")</f>
        <v/>
      </c>
      <c r="T104" t="str">
        <f>IFERROR(VLOOKUP(J104,categorieen!$D:$E,2,FALSE),"")</f>
        <v/>
      </c>
    </row>
    <row r="105" spans="1:20" x14ac:dyDescent="0.25">
      <c r="A105" t="s">
        <v>151</v>
      </c>
      <c r="C105">
        <v>11</v>
      </c>
      <c r="D105">
        <v>27</v>
      </c>
      <c r="E105">
        <v>40</v>
      </c>
      <c r="F105">
        <v>7</v>
      </c>
      <c r="M105" t="str">
        <f>IFERROR(VLOOKUP(C105,categorieen!$D:$E,2,FALSE),"")</f>
        <v>Tilburg</v>
      </c>
      <c r="N105" t="str">
        <f>IFERROR(VLOOKUP(D105,categorieen!$D:$E,2,FALSE),"")</f>
        <v>Eten en Drinken (ED)</v>
      </c>
      <c r="O105" t="str">
        <f>IFERROR(VLOOKUP(E105,categorieen!$D:$E,2,FALSE),"")</f>
        <v>Typisch Brabants (TB)</v>
      </c>
      <c r="P105" t="str">
        <f>IFERROR(VLOOKUP(F105,categorieen!$D:$E,2,FALSE),"")</f>
        <v>Alaaf</v>
      </c>
      <c r="Q105" t="str">
        <f>IFERROR(VLOOKUP(G105,categorieen!$D:$E,2,FALSE),"")</f>
        <v/>
      </c>
      <c r="R105" t="str">
        <f>IFERROR(VLOOKUP(H105,categorieen!$D:$E,2,FALSE),"")</f>
        <v/>
      </c>
      <c r="S105" t="str">
        <f>IFERROR(VLOOKUP(I105,categorieen!$D:$E,2,FALSE),"")</f>
        <v/>
      </c>
      <c r="T105" t="str">
        <f>IFERROR(VLOOKUP(J105,categorieen!$D:$E,2,FALSE),"")</f>
        <v/>
      </c>
    </row>
    <row r="106" spans="1:20" x14ac:dyDescent="0.25">
      <c r="A106" t="s">
        <v>152</v>
      </c>
      <c r="B106" t="s">
        <v>153</v>
      </c>
      <c r="C106">
        <v>5</v>
      </c>
      <c r="D106">
        <v>38</v>
      </c>
      <c r="E106">
        <v>41</v>
      </c>
      <c r="F106">
        <v>22</v>
      </c>
      <c r="M106" t="str">
        <f>IFERROR(VLOOKUP(C106,categorieen!$D:$E,2,FALSE),"")</f>
        <v>Bekende Brabanders</v>
      </c>
      <c r="N106" t="str">
        <f>IFERROR(VLOOKUP(D106,categorieen!$D:$E,2,FALSE),"")</f>
        <v>Sport</v>
      </c>
      <c r="O106" t="str">
        <f>IFERROR(VLOOKUP(E106,categorieen!$D:$E,2,FALSE),"")</f>
        <v>Vught</v>
      </c>
      <c r="P106" t="str">
        <f>IFERROR(VLOOKUP(F106,categorieen!$D:$E,2,FALSE),"")</f>
        <v>3x dezelfde letter</v>
      </c>
      <c r="Q106" t="str">
        <f>IFERROR(VLOOKUP(G106,categorieen!$D:$E,2,FALSE),"")</f>
        <v/>
      </c>
      <c r="R106" t="str">
        <f>IFERROR(VLOOKUP(H106,categorieen!$D:$E,2,FALSE),"")</f>
        <v/>
      </c>
      <c r="S106" t="str">
        <f>IFERROR(VLOOKUP(I106,categorieen!$D:$E,2,FALSE),"")</f>
        <v/>
      </c>
      <c r="T106" t="str">
        <f>IFERROR(VLOOKUP(J106,categorieen!$D:$E,2,FALSE),"")</f>
        <v/>
      </c>
    </row>
    <row r="107" spans="1:20" x14ac:dyDescent="0.25">
      <c r="A107" t="s">
        <v>206</v>
      </c>
      <c r="C107">
        <v>28</v>
      </c>
      <c r="D107">
        <v>34</v>
      </c>
      <c r="E107">
        <v>22</v>
      </c>
      <c r="M107" t="str">
        <f>IFERROR(VLOOKUP(C107,categorieen!$D:$E,2,FALSE),"")</f>
        <v>Heilige</v>
      </c>
      <c r="N107" t="str">
        <f>IFERROR(VLOOKUP(D107,categorieen!$D:$E,2,FALSE),"")</f>
        <v>Met 4 Wieken</v>
      </c>
      <c r="O107" t="str">
        <f>IFERROR(VLOOKUP(E107,categorieen!$D:$E,2,FALSE),"")</f>
        <v>3x dezelfde letter</v>
      </c>
      <c r="P107" t="str">
        <f>IFERROR(VLOOKUP(F107,categorieen!$D:$E,2,FALSE),"")</f>
        <v/>
      </c>
      <c r="Q107" t="str">
        <f>IFERROR(VLOOKUP(G107,categorieen!$D:$E,2,FALSE),"")</f>
        <v/>
      </c>
      <c r="R107" t="str">
        <f>IFERROR(VLOOKUP(H107,categorieen!$D:$E,2,FALSE),"")</f>
        <v/>
      </c>
      <c r="S107" t="str">
        <f>IFERROR(VLOOKUP(I107,categorieen!$D:$E,2,FALSE),"")</f>
        <v/>
      </c>
      <c r="T107" t="str">
        <f>IFERROR(VLOOKUP(J107,categorieen!$D:$E,2,FALSE),"")</f>
        <v/>
      </c>
    </row>
    <row r="108" spans="1:20" x14ac:dyDescent="0.25">
      <c r="A108" t="s">
        <v>154</v>
      </c>
      <c r="C108">
        <v>1</v>
      </c>
      <c r="D108">
        <v>28</v>
      </c>
      <c r="M108" t="str">
        <f>IFERROR(VLOOKUP(C108,categorieen!$D:$E,2,FALSE),"")</f>
        <v>Eerste- en Eindletter hetzelfde</v>
      </c>
      <c r="N108" t="str">
        <f>IFERROR(VLOOKUP(D108,categorieen!$D:$E,2,FALSE),"")</f>
        <v>Heilige</v>
      </c>
      <c r="O108" t="str">
        <f>IFERROR(VLOOKUP(E108,categorieen!$D:$E,2,FALSE),"")</f>
        <v/>
      </c>
      <c r="P108" t="str">
        <f>IFERROR(VLOOKUP(F108,categorieen!$D:$E,2,FALSE),"")</f>
        <v/>
      </c>
      <c r="Q108" t="str">
        <f>IFERROR(VLOOKUP(G108,categorieen!$D:$E,2,FALSE),"")</f>
        <v/>
      </c>
      <c r="R108" t="str">
        <f>IFERROR(VLOOKUP(H108,categorieen!$D:$E,2,FALSE),"")</f>
        <v/>
      </c>
      <c r="S108" t="str">
        <f>IFERROR(VLOOKUP(I108,categorieen!$D:$E,2,FALSE),"")</f>
        <v/>
      </c>
      <c r="T108" t="str">
        <f>IFERROR(VLOOKUP(J108,categorieen!$D:$E,2,FALSE),"")</f>
        <v/>
      </c>
    </row>
    <row r="109" spans="1:20" x14ac:dyDescent="0.25">
      <c r="A109" t="s">
        <v>155</v>
      </c>
      <c r="C109">
        <v>42</v>
      </c>
      <c r="D109">
        <v>28</v>
      </c>
      <c r="E109">
        <v>37</v>
      </c>
      <c r="M109" t="str">
        <f>IFERROR(VLOOKUP(C109,categorieen!$D:$E,2,FALSE),"")</f>
        <v>7 letters</v>
      </c>
      <c r="N109" t="str">
        <f>IFERROR(VLOOKUP(D109,categorieen!$D:$E,2,FALSE),"")</f>
        <v>Heilige</v>
      </c>
      <c r="O109" t="str">
        <f>IFERROR(VLOOKUP(E109,categorieen!$D:$E,2,FALSE),"")</f>
        <v>s Hertogenbosch (DB)</v>
      </c>
      <c r="P109" t="str">
        <f>IFERROR(VLOOKUP(F109,categorieen!$D:$E,2,FALSE),"")</f>
        <v/>
      </c>
      <c r="Q109" t="str">
        <f>IFERROR(VLOOKUP(G109,categorieen!$D:$E,2,FALSE),"")</f>
        <v/>
      </c>
      <c r="R109" t="str">
        <f>IFERROR(VLOOKUP(H109,categorieen!$D:$E,2,FALSE),"")</f>
        <v/>
      </c>
      <c r="S109" t="str">
        <f>IFERROR(VLOOKUP(I109,categorieen!$D:$E,2,FALSE),"")</f>
        <v/>
      </c>
      <c r="T109" t="str">
        <f>IFERROR(VLOOKUP(J109,categorieen!$D:$E,2,FALSE),"")</f>
        <v/>
      </c>
    </row>
    <row r="110" spans="1:20" x14ac:dyDescent="0.25">
      <c r="A110" t="s">
        <v>156</v>
      </c>
      <c r="C110">
        <v>28</v>
      </c>
      <c r="D110">
        <v>33</v>
      </c>
      <c r="E110">
        <v>1</v>
      </c>
      <c r="F110">
        <v>27</v>
      </c>
      <c r="G110">
        <v>2</v>
      </c>
      <c r="M110" t="str">
        <f>IFERROR(VLOOKUP(C110,categorieen!$D:$E,2,FALSE),"")</f>
        <v>Heilige</v>
      </c>
      <c r="N110" t="str">
        <f>IFERROR(VLOOKUP(D110,categorieen!$D:$E,2,FALSE),"")</f>
        <v>076 (Breda)</v>
      </c>
      <c r="O110" t="str">
        <f>IFERROR(VLOOKUP(E110,categorieen!$D:$E,2,FALSE),"")</f>
        <v>Eerste- en Eindletter hetzelfde</v>
      </c>
      <c r="P110" t="str">
        <f>IFERROR(VLOOKUP(F110,categorieen!$D:$E,2,FALSE),"")</f>
        <v>Eten en Drinken (ED)</v>
      </c>
      <c r="Q110" t="str">
        <f>IFERROR(VLOOKUP(G110,categorieen!$D:$E,2,FALSE),"")</f>
        <v>(stand)beeld / (Rijks)monument</v>
      </c>
      <c r="R110" t="str">
        <f>IFERROR(VLOOKUP(H110,categorieen!$D:$E,2,FALSE),"")</f>
        <v/>
      </c>
      <c r="S110" t="str">
        <f>IFERROR(VLOOKUP(I110,categorieen!$D:$E,2,FALSE),"")</f>
        <v/>
      </c>
      <c r="T110" t="str">
        <f>IFERROR(VLOOKUP(J110,categorieen!$D:$E,2,FALSE),"")</f>
        <v/>
      </c>
    </row>
    <row r="111" spans="1:20" x14ac:dyDescent="0.25">
      <c r="A111" s="4" t="s">
        <v>157</v>
      </c>
      <c r="C111" s="4">
        <v>13</v>
      </c>
      <c r="D111" s="4">
        <v>22</v>
      </c>
      <c r="E111">
        <v>33</v>
      </c>
      <c r="M111" t="str">
        <f>IFERROR(VLOOKUP(C111,categorieen!$D:$E,2,FALSE),"")</f>
        <v>Met dubbel T</v>
      </c>
      <c r="N111" t="str">
        <f>IFERROR(VLOOKUP(D111,categorieen!$D:$E,2,FALSE),"")</f>
        <v>3x dezelfde letter</v>
      </c>
      <c r="O111" t="str">
        <f>IFERROR(VLOOKUP(E111,categorieen!$D:$E,2,FALSE),"")</f>
        <v>076 (Breda)</v>
      </c>
      <c r="P111" t="str">
        <f>IFERROR(VLOOKUP(F111,categorieen!$D:$E,2,FALSE),"")</f>
        <v/>
      </c>
      <c r="Q111" t="str">
        <f>IFERROR(VLOOKUP(G111,categorieen!$D:$E,2,FALSE),"")</f>
        <v/>
      </c>
      <c r="R111" t="str">
        <f>IFERROR(VLOOKUP(H111,categorieen!$D:$E,2,FALSE),"")</f>
        <v/>
      </c>
      <c r="S111" t="str">
        <f>IFERROR(VLOOKUP(I111,categorieen!$D:$E,2,FALSE),"")</f>
        <v/>
      </c>
      <c r="T111" t="str">
        <f>IFERROR(VLOOKUP(J111,categorieen!$D:$E,2,FALSE),"")</f>
        <v/>
      </c>
    </row>
    <row r="112" spans="1:20" x14ac:dyDescent="0.25">
      <c r="A112" t="s">
        <v>158</v>
      </c>
      <c r="C112">
        <v>8</v>
      </c>
      <c r="D112">
        <v>1</v>
      </c>
      <c r="E112">
        <v>22</v>
      </c>
      <c r="M112" t="str">
        <f>IFERROR(VLOOKUP(C112,categorieen!$D:$E,2,FALSE),"")</f>
        <v>040 (Eindhoven)</v>
      </c>
      <c r="N112" t="str">
        <f>IFERROR(VLOOKUP(D112,categorieen!$D:$E,2,FALSE),"")</f>
        <v>Eerste- en Eindletter hetzelfde</v>
      </c>
      <c r="O112" t="str">
        <f>IFERROR(VLOOKUP(E112,categorieen!$D:$E,2,FALSE),"")</f>
        <v>3x dezelfde letter</v>
      </c>
      <c r="P112" t="str">
        <f>IFERROR(VLOOKUP(F112,categorieen!$D:$E,2,FALSE),"")</f>
        <v/>
      </c>
      <c r="Q112" t="str">
        <f>IFERROR(VLOOKUP(G112,categorieen!$D:$E,2,FALSE),"")</f>
        <v/>
      </c>
      <c r="R112" t="str">
        <f>IFERROR(VLOOKUP(H112,categorieen!$D:$E,2,FALSE),"")</f>
        <v/>
      </c>
      <c r="S112" t="str">
        <f>IFERROR(VLOOKUP(I112,categorieen!$D:$E,2,FALSE),"")</f>
        <v/>
      </c>
      <c r="T112" t="str">
        <f>IFERROR(VLOOKUP(J112,categorieen!$D:$E,2,FALSE),"")</f>
        <v/>
      </c>
    </row>
    <row r="113" spans="1:20" x14ac:dyDescent="0.25">
      <c r="A113" t="s">
        <v>159</v>
      </c>
      <c r="C113">
        <v>30</v>
      </c>
      <c r="D113">
        <v>26</v>
      </c>
      <c r="E113">
        <v>25</v>
      </c>
      <c r="M113" t="str">
        <f>IFERROR(VLOOKUP(C113,categorieen!$D:$E,2,FALSE),"")</f>
        <v>In de volksmond (IDV)</v>
      </c>
      <c r="N113" t="str">
        <f>IFERROR(VLOOKUP(D113,categorieen!$D:$E,2,FALSE),"")</f>
        <v>Eindigt op el</v>
      </c>
      <c r="O113" t="str">
        <f>IFERROR(VLOOKUP(E113,categorieen!$D:$E,2,FALSE),"")</f>
        <v>1 van de 8</v>
      </c>
      <c r="P113" t="str">
        <f>IFERROR(VLOOKUP(F113,categorieen!$D:$E,2,FALSE),"")</f>
        <v/>
      </c>
      <c r="Q113" t="str">
        <f>IFERROR(VLOOKUP(G113,categorieen!$D:$E,2,FALSE),"")</f>
        <v/>
      </c>
      <c r="R113" t="str">
        <f>IFERROR(VLOOKUP(H113,categorieen!$D:$E,2,FALSE),"")</f>
        <v/>
      </c>
      <c r="S113" t="str">
        <f>IFERROR(VLOOKUP(I113,categorieen!$D:$E,2,FALSE),"")</f>
        <v/>
      </c>
      <c r="T113" t="str">
        <f>IFERROR(VLOOKUP(J113,categorieen!$D:$E,2,FALSE),"")</f>
        <v/>
      </c>
    </row>
    <row r="114" spans="1:20" x14ac:dyDescent="0.25">
      <c r="A114" s="8" t="s">
        <v>186</v>
      </c>
      <c r="C114" s="4">
        <v>1</v>
      </c>
      <c r="D114">
        <v>25</v>
      </c>
      <c r="E114">
        <v>30</v>
      </c>
      <c r="F114">
        <v>7</v>
      </c>
      <c r="M114" t="str">
        <f>IFERROR(VLOOKUP(C114,categorieen!$D:$E,2,FALSE),"")</f>
        <v>Eerste- en Eindletter hetzelfde</v>
      </c>
      <c r="N114" t="str">
        <f>IFERROR(VLOOKUP(D114,categorieen!$D:$E,2,FALSE),"")</f>
        <v>1 van de 8</v>
      </c>
      <c r="O114" t="str">
        <f>IFERROR(VLOOKUP(E114,categorieen!$D:$E,2,FALSE),"")</f>
        <v>In de volksmond (IDV)</v>
      </c>
      <c r="P114" t="str">
        <f>IFERROR(VLOOKUP(F114,categorieen!$D:$E,2,FALSE),"")</f>
        <v>Alaaf</v>
      </c>
      <c r="Q114" t="str">
        <f>IFERROR(VLOOKUP(G114,categorieen!$D:$E,2,FALSE),"")</f>
        <v/>
      </c>
      <c r="R114" t="str">
        <f>IFERROR(VLOOKUP(H114,categorieen!$D:$E,2,FALSE),"")</f>
        <v/>
      </c>
      <c r="S114" t="str">
        <f>IFERROR(VLOOKUP(I114,categorieen!$D:$E,2,FALSE),"")</f>
        <v/>
      </c>
      <c r="T114" t="str">
        <f>IFERROR(VLOOKUP(J114,categorieen!$D:$E,2,FALSE),"")</f>
        <v/>
      </c>
    </row>
    <row r="115" spans="1:20" x14ac:dyDescent="0.25">
      <c r="A115" t="s">
        <v>160</v>
      </c>
      <c r="C115">
        <v>21</v>
      </c>
      <c r="D115">
        <v>28</v>
      </c>
      <c r="M115" t="str">
        <f>IFERROR(VLOOKUP(C115,categorieen!$D:$E,2,FALSE),"")</f>
        <v>West Brabant</v>
      </c>
      <c r="N115" t="str">
        <f>IFERROR(VLOOKUP(D115,categorieen!$D:$E,2,FALSE),"")</f>
        <v>Heilige</v>
      </c>
      <c r="O115" t="str">
        <f>IFERROR(VLOOKUP(E115,categorieen!$D:$E,2,FALSE),"")</f>
        <v/>
      </c>
      <c r="P115" t="str">
        <f>IFERROR(VLOOKUP(F115,categorieen!$D:$E,2,FALSE),"")</f>
        <v/>
      </c>
      <c r="Q115" t="str">
        <f>IFERROR(VLOOKUP(G115,categorieen!$D:$E,2,FALSE),"")</f>
        <v/>
      </c>
      <c r="R115" t="str">
        <f>IFERROR(VLOOKUP(H115,categorieen!$D:$E,2,FALSE),"")</f>
        <v/>
      </c>
      <c r="S115" t="str">
        <f>IFERROR(VLOOKUP(I115,categorieen!$D:$E,2,FALSE),"")</f>
        <v/>
      </c>
      <c r="T115" t="str">
        <f>IFERROR(VLOOKUP(J115,categorieen!$D:$E,2,FALSE),"")</f>
        <v/>
      </c>
    </row>
    <row r="116" spans="1:20" x14ac:dyDescent="0.25">
      <c r="A116" s="1" t="s">
        <v>161</v>
      </c>
      <c r="C116">
        <v>12</v>
      </c>
      <c r="D116">
        <v>22</v>
      </c>
      <c r="M116" t="str">
        <f>IFERROR(VLOOKUP(C116,categorieen!$D:$E,2,FALSE),"")</f>
        <v>Water</v>
      </c>
      <c r="N116" t="str">
        <f>IFERROR(VLOOKUP(D116,categorieen!$D:$E,2,FALSE),"")</f>
        <v>3x dezelfde letter</v>
      </c>
      <c r="O116" t="str">
        <f>IFERROR(VLOOKUP(E116,categorieen!$D:$E,2,FALSE),"")</f>
        <v/>
      </c>
      <c r="P116" t="str">
        <f>IFERROR(VLOOKUP(F116,categorieen!$D:$E,2,FALSE),"")</f>
        <v/>
      </c>
      <c r="Q116" t="str">
        <f>IFERROR(VLOOKUP(G116,categorieen!$D:$E,2,FALSE),"")</f>
        <v/>
      </c>
      <c r="R116" t="str">
        <f>IFERROR(VLOOKUP(H116,categorieen!$D:$E,2,FALSE),"")</f>
        <v/>
      </c>
      <c r="S116" t="str">
        <f>IFERROR(VLOOKUP(I116,categorieen!$D:$E,2,FALSE),"")</f>
        <v/>
      </c>
      <c r="T116" t="str">
        <f>IFERROR(VLOOKUP(J116,categorieen!$D:$E,2,FALSE),"")</f>
        <v/>
      </c>
    </row>
    <row r="117" spans="1:20" x14ac:dyDescent="0.25">
      <c r="A117" s="1" t="s">
        <v>162</v>
      </c>
      <c r="C117">
        <v>36</v>
      </c>
      <c r="D117">
        <v>7</v>
      </c>
      <c r="E117">
        <v>11</v>
      </c>
      <c r="M117" t="str">
        <f>IFERROR(VLOOKUP(C117,categorieen!$D:$E,2,FALSE),"")</f>
        <v>Plein</v>
      </c>
      <c r="N117" t="str">
        <f>IFERROR(VLOOKUP(D117,categorieen!$D:$E,2,FALSE),"")</f>
        <v>Alaaf</v>
      </c>
      <c r="O117" t="str">
        <f>IFERROR(VLOOKUP(E117,categorieen!$D:$E,2,FALSE),"")</f>
        <v>Tilburg</v>
      </c>
      <c r="P117" t="str">
        <f>IFERROR(VLOOKUP(F117,categorieen!$D:$E,2,FALSE),"")</f>
        <v/>
      </c>
      <c r="Q117" t="str">
        <f>IFERROR(VLOOKUP(G117,categorieen!$D:$E,2,FALSE),"")</f>
        <v/>
      </c>
      <c r="R117" t="str">
        <f>IFERROR(VLOOKUP(H117,categorieen!$D:$E,2,FALSE),"")</f>
        <v/>
      </c>
      <c r="S117" t="str">
        <f>IFERROR(VLOOKUP(I117,categorieen!$D:$E,2,FALSE),"")</f>
        <v/>
      </c>
      <c r="T117" t="str">
        <f>IFERROR(VLOOKUP(J117,categorieen!$D:$E,2,FALSE),"")</f>
        <v/>
      </c>
    </row>
    <row r="118" spans="1:20" x14ac:dyDescent="0.25">
      <c r="A118" s="1" t="s">
        <v>163</v>
      </c>
      <c r="C118">
        <v>16</v>
      </c>
      <c r="D118">
        <v>21</v>
      </c>
      <c r="E118">
        <v>12</v>
      </c>
      <c r="M118" t="str">
        <f>IFERROR(VLOOKUP(C118,categorieen!$D:$E,2,FALSE),"")</f>
        <v>Buurtschap</v>
      </c>
      <c r="N118" t="str">
        <f>IFERROR(VLOOKUP(D118,categorieen!$D:$E,2,FALSE),"")</f>
        <v>West Brabant</v>
      </c>
      <c r="O118" t="str">
        <f>IFERROR(VLOOKUP(E118,categorieen!$D:$E,2,FALSE),"")</f>
        <v>Water</v>
      </c>
      <c r="P118" t="str">
        <f>IFERROR(VLOOKUP(F118,categorieen!$D:$E,2,FALSE),"")</f>
        <v/>
      </c>
      <c r="Q118" t="str">
        <f>IFERROR(VLOOKUP(G118,categorieen!$D:$E,2,FALSE),"")</f>
        <v/>
      </c>
      <c r="R118" t="str">
        <f>IFERROR(VLOOKUP(H118,categorieen!$D:$E,2,FALSE),"")</f>
        <v/>
      </c>
      <c r="S118" t="str">
        <f>IFERROR(VLOOKUP(I118,categorieen!$D:$E,2,FALSE),"")</f>
        <v/>
      </c>
      <c r="T118" t="str">
        <f>IFERROR(VLOOKUP(J118,categorieen!$D:$E,2,FALSE),"")</f>
        <v/>
      </c>
    </row>
    <row r="119" spans="1:20" x14ac:dyDescent="0.25">
      <c r="A119" t="s">
        <v>164</v>
      </c>
      <c r="C119">
        <v>42</v>
      </c>
      <c r="D119">
        <v>5</v>
      </c>
      <c r="E119">
        <v>26</v>
      </c>
      <c r="F119">
        <v>18</v>
      </c>
      <c r="G119">
        <v>38</v>
      </c>
      <c r="M119" t="str">
        <f>IFERROR(VLOOKUP(C119,categorieen!$D:$E,2,FALSE),"")</f>
        <v>7 letters</v>
      </c>
      <c r="N119" t="str">
        <f>IFERROR(VLOOKUP(D119,categorieen!$D:$E,2,FALSE),"")</f>
        <v>Bekende Brabanders</v>
      </c>
      <c r="O119" t="str">
        <f>IFERROR(VLOOKUP(E119,categorieen!$D:$E,2,FALSE),"")</f>
        <v>Eindigt op el</v>
      </c>
      <c r="P119" t="str">
        <f>IFERROR(VLOOKUP(F119,categorieen!$D:$E,2,FALSE),"")</f>
        <v>Willem II</v>
      </c>
      <c r="Q119" t="str">
        <f>IFERROR(VLOOKUP(G119,categorieen!$D:$E,2,FALSE),"")</f>
        <v>Sport</v>
      </c>
      <c r="R119" t="str">
        <f>IFERROR(VLOOKUP(H119,categorieen!$D:$E,2,FALSE),"")</f>
        <v/>
      </c>
      <c r="S119" t="str">
        <f>IFERROR(VLOOKUP(I119,categorieen!$D:$E,2,FALSE),"")</f>
        <v/>
      </c>
      <c r="T119" t="str">
        <f>IFERROR(VLOOKUP(J119,categorieen!$D:$E,2,FALSE),"")</f>
        <v/>
      </c>
    </row>
    <row r="120" spans="1:20" x14ac:dyDescent="0.25">
      <c r="A120" t="s">
        <v>165</v>
      </c>
      <c r="C120">
        <v>17</v>
      </c>
      <c r="D120">
        <v>26</v>
      </c>
      <c r="E120">
        <v>27</v>
      </c>
      <c r="F120">
        <v>5</v>
      </c>
      <c r="G120">
        <v>30</v>
      </c>
      <c r="H120">
        <v>38</v>
      </c>
      <c r="M120" t="str">
        <f>IFERROR(VLOOKUP(C120,categorieen!$D:$E,2,FALSE),"")</f>
        <v>Met dubbel s</v>
      </c>
      <c r="N120" t="str">
        <f>IFERROR(VLOOKUP(D120,categorieen!$D:$E,2,FALSE),"")</f>
        <v>Eindigt op el</v>
      </c>
      <c r="O120" t="str">
        <f>IFERROR(VLOOKUP(E120,categorieen!$D:$E,2,FALSE),"")</f>
        <v>Eten en Drinken (ED)</v>
      </c>
      <c r="P120" t="str">
        <f>IFERROR(VLOOKUP(F120,categorieen!$D:$E,2,FALSE),"")</f>
        <v>Bekende Brabanders</v>
      </c>
      <c r="Q120" t="str">
        <f>IFERROR(VLOOKUP(G120,categorieen!$D:$E,2,FALSE),"")</f>
        <v>In de volksmond (IDV)</v>
      </c>
      <c r="R120" t="str">
        <f>IFERROR(VLOOKUP(H120,categorieen!$D:$E,2,FALSE),"")</f>
        <v>Sport</v>
      </c>
      <c r="S120" t="str">
        <f>IFERROR(VLOOKUP(I120,categorieen!$D:$E,2,FALSE),"")</f>
        <v/>
      </c>
      <c r="T120" t="str">
        <f>IFERROR(VLOOKUP(J120,categorieen!$D:$E,2,FALSE),"")</f>
        <v/>
      </c>
    </row>
    <row r="121" spans="1:20" x14ac:dyDescent="0.25">
      <c r="A121" t="s">
        <v>166</v>
      </c>
      <c r="C121">
        <v>35</v>
      </c>
      <c r="D121">
        <v>19</v>
      </c>
      <c r="E121">
        <v>27</v>
      </c>
      <c r="M121" t="str">
        <f>IFERROR(VLOOKUP(C121,categorieen!$D:$E,2,FALSE),"")</f>
        <v>Parel in het Groen (PITG)</v>
      </c>
      <c r="N121" t="str">
        <f>IFERROR(VLOOKUP(D121,categorieen!$D:$E,2,FALSE),"")</f>
        <v>Natuur</v>
      </c>
      <c r="O121" t="str">
        <f>IFERROR(VLOOKUP(E121,categorieen!$D:$E,2,FALSE),"")</f>
        <v>Eten en Drinken (ED)</v>
      </c>
      <c r="P121" t="str">
        <f>IFERROR(VLOOKUP(F121,categorieen!$D:$E,2,FALSE),"")</f>
        <v/>
      </c>
      <c r="Q121" t="str">
        <f>IFERROR(VLOOKUP(G121,categorieen!$D:$E,2,FALSE),"")</f>
        <v/>
      </c>
      <c r="R121" t="str">
        <f>IFERROR(VLOOKUP(H121,categorieen!$D:$E,2,FALSE),"")</f>
        <v/>
      </c>
      <c r="S121" t="str">
        <f>IFERROR(VLOOKUP(I121,categorieen!$D:$E,2,FALSE),"")</f>
        <v/>
      </c>
      <c r="T121" t="str">
        <f>IFERROR(VLOOKUP(J121,categorieen!$D:$E,2,FALSE),"")</f>
        <v/>
      </c>
    </row>
    <row r="122" spans="1:20" x14ac:dyDescent="0.25">
      <c r="A122" t="s">
        <v>167</v>
      </c>
      <c r="C122">
        <v>39</v>
      </c>
      <c r="D122">
        <v>42</v>
      </c>
      <c r="M122" t="str">
        <f>IFERROR(VLOOKUP(C122,categorieen!$D:$E,2,FALSE),"")</f>
        <v>Theater</v>
      </c>
      <c r="N122" t="str">
        <f>IFERROR(VLOOKUP(D122,categorieen!$D:$E,2,FALSE),"")</f>
        <v>7 letters</v>
      </c>
      <c r="O122" t="str">
        <f>IFERROR(VLOOKUP(E122,categorieen!$D:$E,2,FALSE),"")</f>
        <v/>
      </c>
      <c r="P122" t="str">
        <f>IFERROR(VLOOKUP(F122,categorieen!$D:$E,2,FALSE),"")</f>
        <v/>
      </c>
      <c r="Q122" t="str">
        <f>IFERROR(VLOOKUP(G122,categorieen!$D:$E,2,FALSE),"")</f>
        <v/>
      </c>
      <c r="R122" t="str">
        <f>IFERROR(VLOOKUP(H122,categorieen!$D:$E,2,FALSE),"")</f>
        <v/>
      </c>
      <c r="S122" t="str">
        <f>IFERROR(VLOOKUP(I122,categorieen!$D:$E,2,FALSE),"")</f>
        <v/>
      </c>
      <c r="T122" t="str">
        <f>IFERROR(VLOOKUP(J122,categorieen!$D:$E,2,FALSE),"")</f>
        <v/>
      </c>
    </row>
    <row r="123" spans="1:20" x14ac:dyDescent="0.25">
      <c r="A123" t="s">
        <v>168</v>
      </c>
      <c r="C123">
        <v>16</v>
      </c>
      <c r="D123">
        <v>11</v>
      </c>
      <c r="E123">
        <v>15</v>
      </c>
      <c r="M123" t="str">
        <f>IFERROR(VLOOKUP(C123,categorieen!$D:$E,2,FALSE),"")</f>
        <v>Buurtschap</v>
      </c>
      <c r="N123" t="str">
        <f>IFERROR(VLOOKUP(D123,categorieen!$D:$E,2,FALSE),"")</f>
        <v>Tilburg</v>
      </c>
      <c r="O123" t="str">
        <f>IFERROR(VLOOKUP(E123,categorieen!$D:$E,2,FALSE),"")</f>
        <v>Getal/Cijfer</v>
      </c>
      <c r="P123" t="str">
        <f>IFERROR(VLOOKUP(F123,categorieen!$D:$E,2,FALSE),"")</f>
        <v/>
      </c>
      <c r="Q123" t="str">
        <f>IFERROR(VLOOKUP(G123,categorieen!$D:$E,2,FALSE),"")</f>
        <v/>
      </c>
      <c r="R123" t="str">
        <f>IFERROR(VLOOKUP(H123,categorieen!$D:$E,2,FALSE),"")</f>
        <v/>
      </c>
      <c r="S123" t="str">
        <f>IFERROR(VLOOKUP(I123,categorieen!$D:$E,2,FALSE),"")</f>
        <v/>
      </c>
      <c r="T123" t="str">
        <f>IFERROR(VLOOKUP(J123,categorieen!$D:$E,2,FALSE),"")</f>
        <v/>
      </c>
    </row>
    <row r="124" spans="1:20" x14ac:dyDescent="0.25">
      <c r="A124" t="s">
        <v>169</v>
      </c>
      <c r="C124">
        <v>10</v>
      </c>
      <c r="D124">
        <v>11</v>
      </c>
      <c r="E124">
        <v>21</v>
      </c>
      <c r="M124" t="str">
        <f>IFERROR(VLOOKUP(C124,categorieen!$D:$E,2,FALSE),"")</f>
        <v>Begint met een W</v>
      </c>
      <c r="N124" t="str">
        <f>IFERROR(VLOOKUP(D124,categorieen!$D:$E,2,FALSE),"")</f>
        <v>Tilburg</v>
      </c>
      <c r="O124" t="str">
        <f>IFERROR(VLOOKUP(E124,categorieen!$D:$E,2,FALSE),"")</f>
        <v>West Brabant</v>
      </c>
      <c r="P124" t="str">
        <f>IFERROR(VLOOKUP(F124,categorieen!$D:$E,2,FALSE),"")</f>
        <v/>
      </c>
      <c r="Q124" t="str">
        <f>IFERROR(VLOOKUP(G124,categorieen!$D:$E,2,FALSE),"")</f>
        <v/>
      </c>
      <c r="R124" t="str">
        <f>IFERROR(VLOOKUP(H124,categorieen!$D:$E,2,FALSE),"")</f>
        <v/>
      </c>
      <c r="S124" t="str">
        <f>IFERROR(VLOOKUP(I124,categorieen!$D:$E,2,FALSE),"")</f>
        <v/>
      </c>
      <c r="T124" t="str">
        <f>IFERROR(VLOOKUP(J124,categorieen!$D:$E,2,FALSE),"")</f>
        <v/>
      </c>
    </row>
    <row r="125" spans="1:20" x14ac:dyDescent="0.25">
      <c r="A125" t="s">
        <v>170</v>
      </c>
      <c r="C125">
        <v>10</v>
      </c>
      <c r="D125">
        <v>21</v>
      </c>
      <c r="E125">
        <v>33</v>
      </c>
      <c r="F125">
        <v>12</v>
      </c>
      <c r="G125">
        <v>19</v>
      </c>
      <c r="H125">
        <v>9</v>
      </c>
      <c r="M125" t="str">
        <f>IFERROR(VLOOKUP(C125,categorieen!$D:$E,2,FALSE),"")</f>
        <v>Begint met een W</v>
      </c>
      <c r="N125" t="str">
        <f>IFERROR(VLOOKUP(D125,categorieen!$D:$E,2,FALSE),"")</f>
        <v>West Brabant</v>
      </c>
      <c r="O125" t="str">
        <f>IFERROR(VLOOKUP(E125,categorieen!$D:$E,2,FALSE),"")</f>
        <v>076 (Breda)</v>
      </c>
      <c r="P125" t="str">
        <f>IFERROR(VLOOKUP(F125,categorieen!$D:$E,2,FALSE),"")</f>
        <v>Water</v>
      </c>
      <c r="Q125" t="str">
        <f>IFERROR(VLOOKUP(G125,categorieen!$D:$E,2,FALSE),"")</f>
        <v>Natuur</v>
      </c>
      <c r="R125" t="str">
        <f>IFERROR(VLOOKUP(H125,categorieen!$D:$E,2,FALSE),"")</f>
        <v>Kiosk</v>
      </c>
      <c r="S125" t="str">
        <f>IFERROR(VLOOKUP(I125,categorieen!$D:$E,2,FALSE),"")</f>
        <v/>
      </c>
      <c r="T125" t="str">
        <f>IFERROR(VLOOKUP(J125,categorieen!$D:$E,2,FALSE),"")</f>
        <v/>
      </c>
    </row>
    <row r="126" spans="1:20" x14ac:dyDescent="0.25">
      <c r="A126" t="s">
        <v>171</v>
      </c>
      <c r="C126">
        <v>10</v>
      </c>
      <c r="D126">
        <v>38</v>
      </c>
      <c r="E126">
        <v>5</v>
      </c>
      <c r="F126">
        <v>31</v>
      </c>
      <c r="M126" t="str">
        <f>IFERROR(VLOOKUP(C126,categorieen!$D:$E,2,FALSE),"")</f>
        <v>Begint met een W</v>
      </c>
      <c r="N126" t="str">
        <f>IFERROR(VLOOKUP(D126,categorieen!$D:$E,2,FALSE),"")</f>
        <v>Sport</v>
      </c>
      <c r="O126" t="str">
        <f>IFERROR(VLOOKUP(E126,categorieen!$D:$E,2,FALSE),"")</f>
        <v>Bekende Brabanders</v>
      </c>
      <c r="P126" t="str">
        <f>IFERROR(VLOOKUP(F126,categorieen!$D:$E,2,FALSE),"")</f>
        <v>Kleurrijk</v>
      </c>
      <c r="Q126" t="str">
        <f>IFERROR(VLOOKUP(G126,categorieen!$D:$E,2,FALSE),"")</f>
        <v/>
      </c>
      <c r="R126" t="str">
        <f>IFERROR(VLOOKUP(H126,categorieen!$D:$E,2,FALSE),"")</f>
        <v/>
      </c>
      <c r="S126" t="str">
        <f>IFERROR(VLOOKUP(I126,categorieen!$D:$E,2,FALSE),"")</f>
        <v/>
      </c>
      <c r="T126" t="str">
        <f>IFERROR(VLOOKUP(J126,categorieen!$D:$E,2,FALSE),"")</f>
        <v/>
      </c>
    </row>
    <row r="127" spans="1:20" x14ac:dyDescent="0.25">
      <c r="A127" t="s">
        <v>172</v>
      </c>
      <c r="C127">
        <v>10</v>
      </c>
      <c r="D127">
        <v>4</v>
      </c>
      <c r="E127">
        <v>16</v>
      </c>
      <c r="M127" t="str">
        <f>IFERROR(VLOOKUP(C127,categorieen!$D:$E,2,FALSE),"")</f>
        <v>Begint met een W</v>
      </c>
      <c r="N127" t="str">
        <f>IFERROR(VLOOKUP(D127,categorieen!$D:$E,2,FALSE),"")</f>
        <v>Zes letters</v>
      </c>
      <c r="O127" t="str">
        <f>IFERROR(VLOOKUP(E127,categorieen!$D:$E,2,FALSE),"")</f>
        <v>Buurtschap</v>
      </c>
      <c r="P127" t="str">
        <f>IFERROR(VLOOKUP(F127,categorieen!$D:$E,2,FALSE),"")</f>
        <v/>
      </c>
      <c r="Q127" t="str">
        <f>IFERROR(VLOOKUP(G127,categorieen!$D:$E,2,FALSE),"")</f>
        <v/>
      </c>
      <c r="R127" t="str">
        <f>IFERROR(VLOOKUP(H127,categorieen!$D:$E,2,FALSE),"")</f>
        <v/>
      </c>
      <c r="S127" t="str">
        <f>IFERROR(VLOOKUP(I127,categorieen!$D:$E,2,FALSE),"")</f>
        <v/>
      </c>
      <c r="T127" t="str">
        <f>IFERROR(VLOOKUP(J127,categorieen!$D:$E,2,FALSE),"")</f>
        <v/>
      </c>
    </row>
    <row r="128" spans="1:20" x14ac:dyDescent="0.25">
      <c r="A128" t="s">
        <v>173</v>
      </c>
      <c r="C128">
        <v>25</v>
      </c>
      <c r="D128">
        <v>10</v>
      </c>
      <c r="E128">
        <v>8</v>
      </c>
      <c r="M128" t="str">
        <f>IFERROR(VLOOKUP(C128,categorieen!$D:$E,2,FALSE),"")</f>
        <v>1 van de 8</v>
      </c>
      <c r="N128" t="str">
        <f>IFERROR(VLOOKUP(D128,categorieen!$D:$E,2,FALSE),"")</f>
        <v>Begint met een W</v>
      </c>
      <c r="O128" t="str">
        <f>IFERROR(VLOOKUP(E128,categorieen!$D:$E,2,FALSE),"")</f>
        <v>040 (Eindhoven)</v>
      </c>
      <c r="P128" t="str">
        <f>IFERROR(VLOOKUP(F128,categorieen!$D:$E,2,FALSE),"")</f>
        <v/>
      </c>
      <c r="Q128" t="str">
        <f>IFERROR(VLOOKUP(G128,categorieen!$D:$E,2,FALSE),"")</f>
        <v/>
      </c>
      <c r="R128" t="str">
        <f>IFERROR(VLOOKUP(H128,categorieen!$D:$E,2,FALSE),"")</f>
        <v/>
      </c>
      <c r="S128" t="str">
        <f>IFERROR(VLOOKUP(I128,categorieen!$D:$E,2,FALSE),"")</f>
        <v/>
      </c>
      <c r="T128" t="str">
        <f>IFERROR(VLOOKUP(J128,categorieen!$D:$E,2,FALSE),"")</f>
        <v/>
      </c>
    </row>
    <row r="129" spans="1:20" x14ac:dyDescent="0.25">
      <c r="A129" s="4" t="s">
        <v>174</v>
      </c>
      <c r="C129" s="4">
        <v>2</v>
      </c>
      <c r="D129" s="4">
        <v>13</v>
      </c>
      <c r="E129">
        <v>30</v>
      </c>
      <c r="M129" t="str">
        <f>IFERROR(VLOOKUP(C129,categorieen!$D:$E,2,FALSE),"")</f>
        <v>(stand)beeld / (Rijks)monument</v>
      </c>
      <c r="N129" t="str">
        <f>IFERROR(VLOOKUP(D129,categorieen!$D:$E,2,FALSE),"")</f>
        <v>Met dubbel T</v>
      </c>
      <c r="O129" t="str">
        <f>IFERROR(VLOOKUP(E129,categorieen!$D:$E,2,FALSE),"")</f>
        <v>In de volksmond (IDV)</v>
      </c>
      <c r="P129" t="str">
        <f>IFERROR(VLOOKUP(F129,categorieen!$D:$E,2,FALSE),"")</f>
        <v/>
      </c>
      <c r="Q129" t="str">
        <f>IFERROR(VLOOKUP(G129,categorieen!$D:$E,2,FALSE),"")</f>
        <v/>
      </c>
      <c r="R129" t="str">
        <f>IFERROR(VLOOKUP(H129,categorieen!$D:$E,2,FALSE),"")</f>
        <v/>
      </c>
      <c r="S129" t="str">
        <f>IFERROR(VLOOKUP(I129,categorieen!$D:$E,2,FALSE),"")</f>
        <v/>
      </c>
      <c r="T129" t="str">
        <f>IFERROR(VLOOKUP(J129,categorieen!$D:$E,2,FALSE),"")</f>
        <v/>
      </c>
    </row>
    <row r="130" spans="1:20" x14ac:dyDescent="0.25">
      <c r="A130" t="s">
        <v>175</v>
      </c>
      <c r="C130">
        <v>40</v>
      </c>
      <c r="D130">
        <v>10</v>
      </c>
      <c r="E130">
        <v>27</v>
      </c>
      <c r="F130">
        <v>43</v>
      </c>
      <c r="M130" t="str">
        <f>IFERROR(VLOOKUP(C130,categorieen!$D:$E,2,FALSE),"")</f>
        <v>Typisch Brabants (TB)</v>
      </c>
      <c r="N130" t="str">
        <f>IFERROR(VLOOKUP(D130,categorieen!$D:$E,2,FALSE),"")</f>
        <v>Begint met een W</v>
      </c>
      <c r="O130" t="str">
        <f>IFERROR(VLOOKUP(E130,categorieen!$D:$E,2,FALSE),"")</f>
        <v>Eten en Drinken (ED)</v>
      </c>
      <c r="P130" t="str">
        <f>IFERROR(VLOOKUP(F130,categorieen!$D:$E,2,FALSE),"")</f>
        <v>Dierlijk</v>
      </c>
      <c r="Q130" t="str">
        <f>IFERROR(VLOOKUP(G130,categorieen!$D:$E,2,FALSE),"")</f>
        <v/>
      </c>
      <c r="R130" t="str">
        <f>IFERROR(VLOOKUP(H130,categorieen!$D:$E,2,FALSE),"")</f>
        <v/>
      </c>
      <c r="S130" t="str">
        <f>IFERROR(VLOOKUP(I130,categorieen!$D:$E,2,FALSE),"")</f>
        <v/>
      </c>
      <c r="T130" t="str">
        <f>IFERROR(VLOOKUP(J130,categorieen!$D:$E,2,FALSE),"")</f>
        <v/>
      </c>
    </row>
    <row r="131" spans="1:20" x14ac:dyDescent="0.25">
      <c r="A131" t="s">
        <v>176</v>
      </c>
      <c r="B131" t="s">
        <v>209</v>
      </c>
      <c r="C131">
        <v>10</v>
      </c>
      <c r="D131">
        <v>21</v>
      </c>
      <c r="E131">
        <v>1</v>
      </c>
      <c r="M131" t="str">
        <f>IFERROR(VLOOKUP(C131,categorieen!$D:$E,2,FALSE),"")</f>
        <v>Begint met een W</v>
      </c>
      <c r="N131" t="str">
        <f>IFERROR(VLOOKUP(D131,categorieen!$D:$E,2,FALSE),"")</f>
        <v>West Brabant</v>
      </c>
      <c r="O131" t="str">
        <f>IFERROR(VLOOKUP(E131,categorieen!$D:$E,2,FALSE),"")</f>
        <v>Eerste- en Eindletter hetzelfde</v>
      </c>
      <c r="P131" t="str">
        <f>IFERROR(VLOOKUP(F131,categorieen!$D:$E,2,FALSE),"")</f>
        <v/>
      </c>
      <c r="Q131" t="str">
        <f>IFERROR(VLOOKUP(G131,categorieen!$D:$E,2,FALSE),"")</f>
        <v/>
      </c>
      <c r="R131" t="str">
        <f>IFERROR(VLOOKUP(H131,categorieen!$D:$E,2,FALSE),"")</f>
        <v/>
      </c>
      <c r="S131" t="str">
        <f>IFERROR(VLOOKUP(I131,categorieen!$D:$E,2,FALSE),"")</f>
        <v/>
      </c>
      <c r="T131" t="str">
        <f>IFERROR(VLOOKUP(J131,categorieen!$D:$E,2,FALSE),"")</f>
        <v/>
      </c>
    </row>
    <row r="132" spans="1:20" x14ac:dyDescent="0.25">
      <c r="A132" t="s">
        <v>177</v>
      </c>
      <c r="C132">
        <v>37</v>
      </c>
      <c r="D132">
        <v>27</v>
      </c>
      <c r="M132" t="str">
        <f>IFERROR(VLOOKUP(C132,categorieen!$D:$E,2,FALSE),"")</f>
        <v>s Hertogenbosch (DB)</v>
      </c>
      <c r="N132" t="str">
        <f>IFERROR(VLOOKUP(D132,categorieen!$D:$E,2,FALSE),"")</f>
        <v>Eten en Drinken (ED)</v>
      </c>
      <c r="O132" t="str">
        <f>IFERROR(VLOOKUP(E132,categorieen!$D:$E,2,FALSE),"")</f>
        <v/>
      </c>
      <c r="P132" t="str">
        <f>IFERROR(VLOOKUP(F132,categorieen!$D:$E,2,FALSE),"")</f>
        <v/>
      </c>
      <c r="Q132" t="str">
        <f>IFERROR(VLOOKUP(G132,categorieen!$D:$E,2,FALSE),"")</f>
        <v/>
      </c>
      <c r="R132" t="str">
        <f>IFERROR(VLOOKUP(H132,categorieen!$D:$E,2,FALSE),"")</f>
        <v/>
      </c>
      <c r="S132" t="str">
        <f>IFERROR(VLOOKUP(I132,categorieen!$D:$E,2,FALSE),"")</f>
        <v/>
      </c>
      <c r="T132" t="str">
        <f>IFERROR(VLOOKUP(J132,categorieen!$D:$E,2,FALSE),"")</f>
        <v/>
      </c>
    </row>
    <row r="133" spans="1:20" x14ac:dyDescent="0.25">
      <c r="A133" s="7" t="s">
        <v>187</v>
      </c>
      <c r="C133" s="4">
        <v>2</v>
      </c>
      <c r="D133" s="4">
        <v>13</v>
      </c>
      <c r="M133" t="str">
        <f>IFERROR(VLOOKUP(C133,categorieen!$D:$E,2,FALSE),"")</f>
        <v>(stand)beeld / (Rijks)monument</v>
      </c>
      <c r="N133" t="str">
        <f>IFERROR(VLOOKUP(D133,categorieen!$D:$E,2,FALSE),"")</f>
        <v>Met dubbel T</v>
      </c>
      <c r="O133" t="str">
        <f>IFERROR(VLOOKUP(E133,categorieen!$D:$E,2,FALSE),"")</f>
        <v/>
      </c>
      <c r="P133" t="str">
        <f>IFERROR(VLOOKUP(F133,categorieen!$D:$E,2,FALSE),"")</f>
        <v/>
      </c>
      <c r="Q133" t="str">
        <f>IFERROR(VLOOKUP(G133,categorieen!$D:$E,2,FALSE),"")</f>
        <v/>
      </c>
      <c r="R133" t="str">
        <f>IFERROR(VLOOKUP(H133,categorieen!$D:$E,2,FALSE),"")</f>
        <v/>
      </c>
      <c r="S133" t="str">
        <f>IFERROR(VLOOKUP(I133,categorieen!$D:$E,2,FALSE),"")</f>
        <v/>
      </c>
      <c r="T133" t="str">
        <f>IFERROR(VLOOKUP(J133,categorieen!$D:$E,2,FALSE),"")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DBB0C-C556-42C5-830B-BDDC7D735D77}">
  <sheetPr codeName="Blad1">
    <pageSetUpPr fitToPage="1"/>
  </sheetPr>
  <dimension ref="A1"/>
  <sheetViews>
    <sheetView topLeftCell="C10" zoomScale="70" zoomScaleNormal="70" workbookViewId="0">
      <selection activeCell="H21" sqref="H21"/>
    </sheetView>
  </sheetViews>
  <sheetFormatPr defaultRowHeight="15" x14ac:dyDescent="0.25"/>
  <sheetData/>
  <pageMargins left="0" right="0" top="0" bottom="0" header="0" footer="0"/>
  <pageSetup paperSize="9" fitToWidth="2" fitToHeight="2" orientation="landscape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1D99F-0DEA-4A13-BACF-AEBA055B27FD}">
  <sheetPr codeName="Blad2">
    <pageSetUpPr fitToPage="1"/>
  </sheetPr>
  <dimension ref="A1:E44"/>
  <sheetViews>
    <sheetView topLeftCell="A31" workbookViewId="0">
      <selection activeCell="D18" sqref="D18"/>
    </sheetView>
  </sheetViews>
  <sheetFormatPr defaultRowHeight="15" x14ac:dyDescent="0.25"/>
  <cols>
    <col min="1" max="1" width="11.85546875" bestFit="1" customWidth="1"/>
    <col min="2" max="2" width="34.140625" customWidth="1"/>
    <col min="5" max="5" width="30.28515625" bestFit="1" customWidth="1"/>
    <col min="9" max="9" width="30.28515625" bestFit="1" customWidth="1"/>
    <col min="11" max="12" width="5.28515625" customWidth="1"/>
    <col min="13" max="13" width="5.5703125" customWidth="1"/>
  </cols>
  <sheetData>
    <row r="1" spans="1:5" x14ac:dyDescent="0.25">
      <c r="A1" s="4" t="s">
        <v>1</v>
      </c>
      <c r="B1" s="4" t="s">
        <v>0</v>
      </c>
      <c r="C1" s="4" t="s">
        <v>208</v>
      </c>
      <c r="D1" s="4" t="s">
        <v>1</v>
      </c>
      <c r="E1" s="4" t="s">
        <v>0</v>
      </c>
    </row>
    <row r="2" spans="1:5" x14ac:dyDescent="0.25">
      <c r="A2">
        <v>1</v>
      </c>
      <c r="B2" t="s">
        <v>2</v>
      </c>
      <c r="C2">
        <f>COUNTIF(Antwoorden!$C$2:$J$133, categorieen!A2)</f>
        <v>13</v>
      </c>
      <c r="D2">
        <v>2</v>
      </c>
      <c r="E2" t="s">
        <v>3</v>
      </c>
    </row>
    <row r="3" spans="1:5" x14ac:dyDescent="0.25">
      <c r="A3">
        <v>2</v>
      </c>
      <c r="B3" t="s">
        <v>3</v>
      </c>
      <c r="C3">
        <f>COUNTIF(Antwoorden!$C$2:$J$133, categorieen!A3)</f>
        <v>29</v>
      </c>
      <c r="D3">
        <v>8</v>
      </c>
      <c r="E3" s="1" t="s">
        <v>127</v>
      </c>
    </row>
    <row r="4" spans="1:5" x14ac:dyDescent="0.25">
      <c r="A4">
        <v>3</v>
      </c>
      <c r="B4" t="s">
        <v>4</v>
      </c>
      <c r="C4">
        <f>COUNTIF(Antwoorden!$C$2:$J$133, categorieen!A4)</f>
        <v>21</v>
      </c>
      <c r="D4">
        <v>33</v>
      </c>
      <c r="E4" s="1" t="s">
        <v>128</v>
      </c>
    </row>
    <row r="5" spans="1:5" x14ac:dyDescent="0.25">
      <c r="A5">
        <v>4</v>
      </c>
      <c r="B5" t="s">
        <v>5</v>
      </c>
      <c r="C5">
        <f>COUNTIF(Antwoorden!$C$2:$J$133, categorieen!A5)</f>
        <v>15</v>
      </c>
      <c r="D5">
        <v>25</v>
      </c>
      <c r="E5" t="s">
        <v>25</v>
      </c>
    </row>
    <row r="6" spans="1:5" x14ac:dyDescent="0.25">
      <c r="A6">
        <v>5</v>
      </c>
      <c r="B6" t="s">
        <v>6</v>
      </c>
      <c r="C6">
        <f>COUNTIF(Antwoorden!$C$2:$J$133, categorieen!A6)</f>
        <v>15</v>
      </c>
      <c r="D6">
        <v>24</v>
      </c>
      <c r="E6" t="s">
        <v>24</v>
      </c>
    </row>
    <row r="7" spans="1:5" x14ac:dyDescent="0.25">
      <c r="A7">
        <v>6</v>
      </c>
      <c r="B7" t="s">
        <v>7</v>
      </c>
      <c r="C7">
        <f>COUNTIF(Antwoorden!$C$2:$J$133, categorieen!A7)</f>
        <v>9</v>
      </c>
      <c r="D7">
        <v>22</v>
      </c>
      <c r="E7" t="s">
        <v>22</v>
      </c>
    </row>
    <row r="8" spans="1:5" x14ac:dyDescent="0.25">
      <c r="A8">
        <v>7</v>
      </c>
      <c r="B8" t="s">
        <v>8</v>
      </c>
      <c r="C8">
        <f>COUNTIF(Antwoorden!$C$2:$J$133, categorieen!A8)</f>
        <v>13</v>
      </c>
      <c r="D8">
        <v>42</v>
      </c>
      <c r="E8" t="s">
        <v>39</v>
      </c>
    </row>
    <row r="9" spans="1:5" x14ac:dyDescent="0.25">
      <c r="A9">
        <v>8</v>
      </c>
      <c r="B9" s="1" t="s">
        <v>129</v>
      </c>
      <c r="C9">
        <f>COUNTIF(Antwoorden!$C$2:$J$133, categorieen!A9)</f>
        <v>16</v>
      </c>
      <c r="D9">
        <v>7</v>
      </c>
      <c r="E9" t="s">
        <v>8</v>
      </c>
    </row>
    <row r="10" spans="1:5" x14ac:dyDescent="0.25">
      <c r="A10">
        <v>9</v>
      </c>
      <c r="B10" t="s">
        <v>9</v>
      </c>
      <c r="C10">
        <f>COUNTIF(Antwoorden!$C$2:$J$133, categorieen!A10)</f>
        <v>10</v>
      </c>
      <c r="D10">
        <v>3</v>
      </c>
      <c r="E10" t="s">
        <v>4</v>
      </c>
    </row>
    <row r="11" spans="1:5" x14ac:dyDescent="0.25">
      <c r="A11">
        <v>10</v>
      </c>
      <c r="B11" t="s">
        <v>10</v>
      </c>
      <c r="C11">
        <f>COUNTIF(Antwoorden!$C$2:$J$133, categorieen!A11)</f>
        <v>8</v>
      </c>
      <c r="D11">
        <v>10</v>
      </c>
      <c r="E11" t="s">
        <v>10</v>
      </c>
    </row>
    <row r="12" spans="1:5" x14ac:dyDescent="0.25">
      <c r="A12">
        <v>11</v>
      </c>
      <c r="B12" t="s">
        <v>11</v>
      </c>
      <c r="C12">
        <f>COUNTIF(Antwoorden!$C$2:$J$133, categorieen!A12)</f>
        <v>18</v>
      </c>
      <c r="D12">
        <v>23</v>
      </c>
      <c r="E12" t="s">
        <v>23</v>
      </c>
    </row>
    <row r="13" spans="1:5" x14ac:dyDescent="0.25">
      <c r="A13">
        <v>12</v>
      </c>
      <c r="B13" t="s">
        <v>12</v>
      </c>
      <c r="C13">
        <f>COUNTIF(Antwoorden!$C$2:$J$133, categorieen!A13)</f>
        <v>19</v>
      </c>
      <c r="D13">
        <v>5</v>
      </c>
      <c r="E13" t="s">
        <v>6</v>
      </c>
    </row>
    <row r="14" spans="1:5" x14ac:dyDescent="0.25">
      <c r="A14">
        <v>13</v>
      </c>
      <c r="B14" t="s">
        <v>13</v>
      </c>
      <c r="C14">
        <f>COUNTIF(Antwoorden!$C$2:$J$133, categorieen!A14)</f>
        <v>7</v>
      </c>
      <c r="D14">
        <v>16</v>
      </c>
      <c r="E14" t="s">
        <v>16</v>
      </c>
    </row>
    <row r="15" spans="1:5" x14ac:dyDescent="0.25">
      <c r="A15">
        <v>14</v>
      </c>
      <c r="B15" t="s">
        <v>14</v>
      </c>
      <c r="C15">
        <f>COUNTIF(Antwoorden!$C$2:$J$133, categorieen!A15)</f>
        <v>11</v>
      </c>
      <c r="D15">
        <v>43</v>
      </c>
      <c r="E15" t="s">
        <v>40</v>
      </c>
    </row>
    <row r="16" spans="1:5" x14ac:dyDescent="0.25">
      <c r="A16">
        <v>15</v>
      </c>
      <c r="B16" t="s">
        <v>15</v>
      </c>
      <c r="C16">
        <f>COUNTIF(Antwoorden!$C$2:$J$133, categorieen!A16)</f>
        <v>11</v>
      </c>
      <c r="D16">
        <v>1</v>
      </c>
      <c r="E16" t="s">
        <v>2</v>
      </c>
    </row>
    <row r="17" spans="1:5" x14ac:dyDescent="0.25">
      <c r="A17">
        <v>16</v>
      </c>
      <c r="B17" t="s">
        <v>16</v>
      </c>
      <c r="C17">
        <f>COUNTIF(Antwoorden!$C$2:$J$133, categorieen!A17)</f>
        <v>11</v>
      </c>
      <c r="D17">
        <v>26</v>
      </c>
      <c r="E17" t="s">
        <v>26</v>
      </c>
    </row>
    <row r="18" spans="1:5" x14ac:dyDescent="0.25">
      <c r="A18">
        <v>17</v>
      </c>
      <c r="B18" t="s">
        <v>17</v>
      </c>
      <c r="C18">
        <f>COUNTIF(Antwoorden!$C$2:$J$133, categorieen!A18)</f>
        <v>11</v>
      </c>
      <c r="D18">
        <v>27</v>
      </c>
      <c r="E18" t="s">
        <v>27</v>
      </c>
    </row>
    <row r="19" spans="1:5" x14ac:dyDescent="0.25">
      <c r="A19">
        <v>18</v>
      </c>
      <c r="B19" t="s">
        <v>18</v>
      </c>
      <c r="C19">
        <f>COUNTIF(Antwoorden!$C$2:$J$133, categorieen!A19)</f>
        <v>8</v>
      </c>
      <c r="D19">
        <v>20</v>
      </c>
      <c r="E19" t="s">
        <v>20</v>
      </c>
    </row>
    <row r="20" spans="1:5" x14ac:dyDescent="0.25">
      <c r="A20">
        <v>19</v>
      </c>
      <c r="B20" t="s">
        <v>19</v>
      </c>
      <c r="C20">
        <f>COUNTIF(Antwoorden!$C$2:$J$133, categorieen!A20)</f>
        <v>18</v>
      </c>
      <c r="D20">
        <v>15</v>
      </c>
      <c r="E20" t="s">
        <v>15</v>
      </c>
    </row>
    <row r="21" spans="1:5" x14ac:dyDescent="0.25">
      <c r="A21">
        <v>20</v>
      </c>
      <c r="B21" t="s">
        <v>20</v>
      </c>
      <c r="C21">
        <f>COUNTIF(Antwoorden!$C$2:$J$133, categorieen!A21)</f>
        <v>13</v>
      </c>
      <c r="D21">
        <v>28</v>
      </c>
      <c r="E21" s="1" t="s">
        <v>207</v>
      </c>
    </row>
    <row r="22" spans="1:5" x14ac:dyDescent="0.25">
      <c r="A22">
        <v>21</v>
      </c>
      <c r="B22" t="s">
        <v>21</v>
      </c>
      <c r="C22">
        <f>COUNTIF(Antwoorden!$C$2:$J$133, categorieen!A22)</f>
        <v>17</v>
      </c>
      <c r="D22">
        <v>29</v>
      </c>
      <c r="E22" t="s">
        <v>28</v>
      </c>
    </row>
    <row r="23" spans="1:5" x14ac:dyDescent="0.25">
      <c r="A23">
        <v>22</v>
      </c>
      <c r="B23" t="s">
        <v>22</v>
      </c>
      <c r="C23">
        <f>COUNTIF(Antwoorden!$C$2:$J$133, categorieen!A23)</f>
        <v>39</v>
      </c>
      <c r="D23">
        <v>30</v>
      </c>
      <c r="E23" t="s">
        <v>29</v>
      </c>
    </row>
    <row r="24" spans="1:5" x14ac:dyDescent="0.25">
      <c r="A24">
        <v>23</v>
      </c>
      <c r="B24" t="s">
        <v>23</v>
      </c>
      <c r="C24">
        <f>COUNTIF(Antwoorden!$C$2:$J$133, categorieen!A24)</f>
        <v>7</v>
      </c>
      <c r="D24">
        <v>14</v>
      </c>
      <c r="E24" t="s">
        <v>14</v>
      </c>
    </row>
    <row r="25" spans="1:5" x14ac:dyDescent="0.25">
      <c r="A25">
        <v>24</v>
      </c>
      <c r="B25" t="s">
        <v>24</v>
      </c>
      <c r="C25">
        <f>COUNTIF(Antwoorden!$C$2:$J$133, categorieen!A25)</f>
        <v>9</v>
      </c>
      <c r="D25">
        <v>9</v>
      </c>
      <c r="E25" t="s">
        <v>9</v>
      </c>
    </row>
    <row r="26" spans="1:5" x14ac:dyDescent="0.25">
      <c r="A26">
        <v>25</v>
      </c>
      <c r="B26" t="s">
        <v>25</v>
      </c>
      <c r="C26">
        <f>COUNTIF(Antwoorden!$C$2:$J$133, categorieen!A26)</f>
        <v>6</v>
      </c>
      <c r="D26">
        <v>31</v>
      </c>
      <c r="E26" t="s">
        <v>30</v>
      </c>
    </row>
    <row r="27" spans="1:5" x14ac:dyDescent="0.25">
      <c r="A27">
        <v>26</v>
      </c>
      <c r="B27" t="s">
        <v>26</v>
      </c>
      <c r="C27">
        <f>COUNTIF(Antwoorden!$C$2:$J$133, categorieen!A27)</f>
        <v>13</v>
      </c>
      <c r="D27">
        <v>34</v>
      </c>
      <c r="E27" t="s">
        <v>32</v>
      </c>
    </row>
    <row r="28" spans="1:5" x14ac:dyDescent="0.25">
      <c r="A28">
        <v>27</v>
      </c>
      <c r="B28" t="s">
        <v>27</v>
      </c>
      <c r="C28">
        <f>COUNTIF(Antwoorden!$C$2:$J$133, categorieen!A28)</f>
        <v>26</v>
      </c>
      <c r="D28">
        <v>6</v>
      </c>
      <c r="E28" t="s">
        <v>7</v>
      </c>
    </row>
    <row r="29" spans="1:5" x14ac:dyDescent="0.25">
      <c r="A29">
        <v>28</v>
      </c>
      <c r="B29" s="1" t="s">
        <v>207</v>
      </c>
      <c r="C29">
        <f>COUNTIF(Antwoorden!$C$2:$J$133, categorieen!A29)</f>
        <v>9</v>
      </c>
      <c r="D29">
        <v>17</v>
      </c>
      <c r="E29" t="s">
        <v>17</v>
      </c>
    </row>
    <row r="30" spans="1:5" x14ac:dyDescent="0.25">
      <c r="A30">
        <v>29</v>
      </c>
      <c r="B30" t="s">
        <v>28</v>
      </c>
      <c r="C30">
        <f>COUNTIF(Antwoorden!$C$2:$J$133, categorieen!A30)</f>
        <v>10</v>
      </c>
      <c r="D30">
        <v>13</v>
      </c>
      <c r="E30" t="s">
        <v>13</v>
      </c>
    </row>
    <row r="31" spans="1:5" x14ac:dyDescent="0.25">
      <c r="A31">
        <v>30</v>
      </c>
      <c r="B31" t="s">
        <v>29</v>
      </c>
      <c r="C31">
        <f>COUNTIF(Antwoorden!$C$2:$J$133, categorieen!A31)</f>
        <v>16</v>
      </c>
      <c r="D31">
        <v>32</v>
      </c>
      <c r="E31" t="s">
        <v>31</v>
      </c>
    </row>
    <row r="32" spans="1:5" x14ac:dyDescent="0.25">
      <c r="A32">
        <v>31</v>
      </c>
      <c r="B32" t="s">
        <v>30</v>
      </c>
      <c r="C32">
        <f>COUNTIF(Antwoorden!$C$2:$J$133, categorieen!A32)</f>
        <v>14</v>
      </c>
      <c r="D32">
        <v>19</v>
      </c>
      <c r="E32" t="s">
        <v>19</v>
      </c>
    </row>
    <row r="33" spans="1:5" x14ac:dyDescent="0.25">
      <c r="A33">
        <v>32</v>
      </c>
      <c r="B33" t="s">
        <v>31</v>
      </c>
      <c r="C33">
        <f>COUNTIF(Antwoorden!$C$2:$J$133, categorieen!A33)</f>
        <v>12</v>
      </c>
      <c r="D33">
        <v>35</v>
      </c>
      <c r="E33" t="s">
        <v>33</v>
      </c>
    </row>
    <row r="34" spans="1:5" x14ac:dyDescent="0.25">
      <c r="A34">
        <v>33</v>
      </c>
      <c r="B34" s="1" t="s">
        <v>128</v>
      </c>
      <c r="C34">
        <f>COUNTIF(Antwoorden!$C$2:$J$133, categorieen!A34)</f>
        <v>13</v>
      </c>
      <c r="D34">
        <v>36</v>
      </c>
      <c r="E34" t="s">
        <v>34</v>
      </c>
    </row>
    <row r="35" spans="1:5" x14ac:dyDescent="0.25">
      <c r="A35">
        <v>34</v>
      </c>
      <c r="B35" t="s">
        <v>32</v>
      </c>
      <c r="C35">
        <f>COUNTIF(Antwoorden!$C$2:$J$133, categorieen!A35)</f>
        <v>13</v>
      </c>
      <c r="D35">
        <v>37</v>
      </c>
      <c r="E35" s="1" t="s">
        <v>91</v>
      </c>
    </row>
    <row r="36" spans="1:5" x14ac:dyDescent="0.25">
      <c r="A36">
        <v>35</v>
      </c>
      <c r="B36" t="s">
        <v>33</v>
      </c>
      <c r="C36">
        <f>COUNTIF(Antwoorden!$C$2:$J$133, categorieen!A36)</f>
        <v>7</v>
      </c>
      <c r="D36">
        <v>38</v>
      </c>
      <c r="E36" t="s">
        <v>35</v>
      </c>
    </row>
    <row r="37" spans="1:5" x14ac:dyDescent="0.25">
      <c r="A37">
        <v>36</v>
      </c>
      <c r="B37" t="s">
        <v>34</v>
      </c>
      <c r="C37">
        <f>COUNTIF(Antwoorden!$C$2:$J$133, categorieen!A37)</f>
        <v>12</v>
      </c>
      <c r="D37">
        <v>39</v>
      </c>
      <c r="E37" t="s">
        <v>36</v>
      </c>
    </row>
    <row r="38" spans="1:5" x14ac:dyDescent="0.25">
      <c r="A38">
        <v>37</v>
      </c>
      <c r="B38" s="1" t="s">
        <v>91</v>
      </c>
      <c r="C38">
        <f>COUNTIF(Antwoorden!$C$2:$J$133, categorieen!A38)</f>
        <v>12</v>
      </c>
      <c r="D38">
        <v>11</v>
      </c>
      <c r="E38" t="s">
        <v>11</v>
      </c>
    </row>
    <row r="39" spans="1:5" x14ac:dyDescent="0.25">
      <c r="A39">
        <v>38</v>
      </c>
      <c r="B39" t="s">
        <v>35</v>
      </c>
      <c r="C39">
        <f>COUNTIF(Antwoorden!$C$2:$J$133, categorieen!A39)</f>
        <v>18</v>
      </c>
      <c r="D39">
        <v>40</v>
      </c>
      <c r="E39" t="s">
        <v>37</v>
      </c>
    </row>
    <row r="40" spans="1:5" x14ac:dyDescent="0.25">
      <c r="A40">
        <v>39</v>
      </c>
      <c r="B40" t="s">
        <v>36</v>
      </c>
      <c r="C40">
        <f>COUNTIF(Antwoorden!$C$2:$J$133, categorieen!A40)</f>
        <v>6</v>
      </c>
      <c r="D40">
        <v>41</v>
      </c>
      <c r="E40" t="s">
        <v>38</v>
      </c>
    </row>
    <row r="41" spans="1:5" x14ac:dyDescent="0.25">
      <c r="A41">
        <v>40</v>
      </c>
      <c r="B41" t="s">
        <v>37</v>
      </c>
      <c r="C41">
        <f>COUNTIF(Antwoorden!$C$2:$J$133, categorieen!A41)</f>
        <v>17</v>
      </c>
      <c r="D41">
        <v>12</v>
      </c>
      <c r="E41" t="s">
        <v>12</v>
      </c>
    </row>
    <row r="42" spans="1:5" x14ac:dyDescent="0.25">
      <c r="A42">
        <v>41</v>
      </c>
      <c r="B42" t="s">
        <v>38</v>
      </c>
      <c r="C42">
        <f>COUNTIF(Antwoorden!$C$2:$J$133, categorieen!A42)</f>
        <v>7</v>
      </c>
      <c r="D42">
        <v>21</v>
      </c>
      <c r="E42" t="s">
        <v>21</v>
      </c>
    </row>
    <row r="43" spans="1:5" x14ac:dyDescent="0.25">
      <c r="A43">
        <v>42</v>
      </c>
      <c r="B43" t="s">
        <v>39</v>
      </c>
      <c r="C43">
        <f>COUNTIF(Antwoorden!$C$2:$J$133, categorieen!A43)</f>
        <v>19</v>
      </c>
      <c r="D43">
        <v>18</v>
      </c>
      <c r="E43" t="s">
        <v>18</v>
      </c>
    </row>
    <row r="44" spans="1:5" x14ac:dyDescent="0.25">
      <c r="A44">
        <v>43</v>
      </c>
      <c r="B44" t="s">
        <v>40</v>
      </c>
      <c r="C44">
        <f>COUNTIF(Antwoorden!$C$2:$J$133, categorieen!A44)</f>
        <v>13</v>
      </c>
      <c r="D44">
        <v>4</v>
      </c>
      <c r="E44" t="s">
        <v>5</v>
      </c>
    </row>
  </sheetData>
  <sortState xmlns:xlrd2="http://schemas.microsoft.com/office/spreadsheetml/2017/richdata2" ref="D2:E44">
    <sortCondition ref="E2:E44"/>
  </sortState>
  <pageMargins left="0.7" right="0.7" top="0.75" bottom="0.75" header="0.3" footer="0.3"/>
  <pageSetup paperSize="9" scale="92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49F6-9098-4386-B0C3-AF6A997BF10B}">
  <sheetPr codeName="Blad3">
    <pageSetUpPr fitToPage="1"/>
  </sheetPr>
  <dimension ref="A1:T133"/>
  <sheetViews>
    <sheetView tabSelected="1" topLeftCell="A91" zoomScale="85" zoomScaleNormal="85" workbookViewId="0">
      <selection activeCell="K112" sqref="K112"/>
    </sheetView>
  </sheetViews>
  <sheetFormatPr defaultRowHeight="15" x14ac:dyDescent="0.25"/>
  <cols>
    <col min="1" max="1" width="29.85546875" customWidth="1"/>
    <col min="2" max="2" width="34.85546875" customWidth="1"/>
    <col min="3" max="6" width="5.28515625" customWidth="1"/>
    <col min="7" max="9" width="4.85546875" customWidth="1"/>
    <col min="10" max="10" width="5.28515625" customWidth="1"/>
    <col min="11" max="11" width="4.5703125" customWidth="1"/>
    <col min="12" max="12" width="9.140625" customWidth="1"/>
    <col min="13" max="17" width="31.42578125" bestFit="1" customWidth="1"/>
    <col min="18" max="18" width="21" bestFit="1" customWidth="1"/>
    <col min="19" max="19" width="14.28515625" customWidth="1"/>
    <col min="20" max="20" width="13.140625" customWidth="1"/>
  </cols>
  <sheetData>
    <row r="1" spans="1:20" x14ac:dyDescent="0.25">
      <c r="A1" s="11" t="s">
        <v>41</v>
      </c>
      <c r="B1" s="11"/>
      <c r="C1" s="11" t="s">
        <v>42</v>
      </c>
      <c r="D1" s="11" t="s">
        <v>43</v>
      </c>
      <c r="E1" s="11" t="s">
        <v>44</v>
      </c>
      <c r="F1" s="11" t="s">
        <v>45</v>
      </c>
      <c r="G1" s="11" t="s">
        <v>193</v>
      </c>
      <c r="H1" s="11" t="s">
        <v>194</v>
      </c>
      <c r="I1" s="11" t="s">
        <v>197</v>
      </c>
      <c r="J1" s="11" t="s">
        <v>198</v>
      </c>
      <c r="K1" s="12"/>
      <c r="L1" s="12"/>
      <c r="M1" s="11" t="s">
        <v>214</v>
      </c>
      <c r="N1" s="11" t="s">
        <v>215</v>
      </c>
      <c r="O1" s="11" t="s">
        <v>216</v>
      </c>
      <c r="P1" s="11" t="s">
        <v>217</v>
      </c>
      <c r="Q1" s="11" t="s">
        <v>218</v>
      </c>
      <c r="R1" s="11" t="s">
        <v>219</v>
      </c>
      <c r="S1" s="11" t="s">
        <v>220</v>
      </c>
      <c r="T1" s="11" t="s">
        <v>221</v>
      </c>
    </row>
    <row r="2" spans="1:20" x14ac:dyDescent="0.25">
      <c r="A2" s="12" t="s">
        <v>47</v>
      </c>
      <c r="B2" s="13" t="s">
        <v>48</v>
      </c>
      <c r="C2" s="12">
        <v>39</v>
      </c>
      <c r="D2" s="12">
        <v>37</v>
      </c>
      <c r="E2" s="12">
        <v>36</v>
      </c>
      <c r="F2" s="12">
        <v>20</v>
      </c>
      <c r="G2" s="12"/>
      <c r="H2" s="12"/>
      <c r="I2" s="12"/>
      <c r="J2" s="12"/>
      <c r="K2" s="12"/>
      <c r="L2" s="12"/>
      <c r="M2" s="12" t="str">
        <f>IFERROR(VLOOKUP(C2,categorieen!$D:$E,2,FALSE),"")</f>
        <v>Theater</v>
      </c>
      <c r="N2" s="12" t="str">
        <f>IFERROR(VLOOKUP(D2,categorieen!$D:$E,2,FALSE),"")</f>
        <v>s Hertogenbosch (DB)</v>
      </c>
      <c r="O2" s="12" t="str">
        <f>IFERROR(VLOOKUP(E2,categorieen!$D:$E,2,FALSE),"")</f>
        <v>Plein</v>
      </c>
      <c r="P2" s="12" t="str">
        <f>IFERROR(VLOOKUP(F2,categorieen!$D:$E,2,FALSE),"")</f>
        <v>Festival</v>
      </c>
      <c r="Q2" s="12" t="str">
        <f>IFERROR(VLOOKUP(G2,categorieen!$D:$E,2,FALSE),"")</f>
        <v/>
      </c>
      <c r="R2" s="12" t="str">
        <f>IFERROR(VLOOKUP(H2,categorieen!$D:$E,2,FALSE),"")</f>
        <v/>
      </c>
      <c r="S2" s="12" t="str">
        <f>IFERROR(VLOOKUP(I2,categorieen!$D:$E,2,FALSE),"")</f>
        <v/>
      </c>
      <c r="T2" s="12" t="str">
        <f>IFERROR(VLOOKUP(J2,categorieen!$D:$E,2,FALSE),"")</f>
        <v/>
      </c>
    </row>
    <row r="3" spans="1:20" x14ac:dyDescent="0.25">
      <c r="A3" s="12" t="s">
        <v>46</v>
      </c>
      <c r="B3" s="13" t="s">
        <v>74</v>
      </c>
      <c r="C3" s="12">
        <v>26</v>
      </c>
      <c r="D3" s="12">
        <v>9</v>
      </c>
      <c r="E3" s="12">
        <v>14</v>
      </c>
      <c r="F3" s="12"/>
      <c r="G3" s="12"/>
      <c r="H3" s="12"/>
      <c r="I3" s="12"/>
      <c r="J3" s="12"/>
      <c r="K3" s="12"/>
      <c r="L3" s="12"/>
      <c r="M3" s="12" t="str">
        <f>IFERROR(VLOOKUP(C3,categorieen!$D:$E,2,FALSE),"")</f>
        <v>Eindigt op el</v>
      </c>
      <c r="N3" s="12" t="str">
        <f>IFERROR(VLOOKUP(D3,categorieen!$D:$E,2,FALSE),"")</f>
        <v>Kiosk</v>
      </c>
      <c r="O3" s="12" t="str">
        <f>IFERROR(VLOOKUP(E3,categorieen!$D:$E,2,FALSE),"")</f>
        <v>Kasteel</v>
      </c>
      <c r="P3" s="12" t="str">
        <f>IFERROR(VLOOKUP(F3,categorieen!$D:$E,2,FALSE),"")</f>
        <v/>
      </c>
      <c r="Q3" s="12" t="str">
        <f>IFERROR(VLOOKUP(G3,categorieen!$D:$E,2,FALSE),"")</f>
        <v/>
      </c>
      <c r="R3" s="12" t="str">
        <f>IFERROR(VLOOKUP(H3,categorieen!$D:$E,2,FALSE),"")</f>
        <v/>
      </c>
      <c r="S3" s="12" t="str">
        <f>IFERROR(VLOOKUP(I3,categorieen!$D:$E,2,FALSE),"")</f>
        <v/>
      </c>
      <c r="T3" s="12" t="str">
        <f>IFERROR(VLOOKUP(J3,categorieen!$D:$E,2,FALSE),"")</f>
        <v/>
      </c>
    </row>
    <row r="4" spans="1:20" x14ac:dyDescent="0.25">
      <c r="A4" s="14" t="s">
        <v>49</v>
      </c>
      <c r="B4" s="13" t="s">
        <v>199</v>
      </c>
      <c r="C4" s="12">
        <v>15</v>
      </c>
      <c r="D4" s="12">
        <v>8</v>
      </c>
      <c r="E4" s="12">
        <v>36</v>
      </c>
      <c r="F4" s="12">
        <v>22</v>
      </c>
      <c r="G4" s="12"/>
      <c r="H4" s="12"/>
      <c r="I4" s="12"/>
      <c r="J4" s="12"/>
      <c r="K4" s="12"/>
      <c r="L4" s="12"/>
      <c r="M4" s="12" t="str">
        <f>IFERROR(VLOOKUP(C4,categorieen!$D:$E,2,FALSE),"")</f>
        <v>Getal/Cijfer</v>
      </c>
      <c r="N4" s="12" t="str">
        <f>IFERROR(VLOOKUP(D4,categorieen!$D:$E,2,FALSE),"")</f>
        <v>040 (Eindhoven)</v>
      </c>
      <c r="O4" s="12" t="str">
        <f>IFERROR(VLOOKUP(E4,categorieen!$D:$E,2,FALSE),"")</f>
        <v>Plein</v>
      </c>
      <c r="P4" s="12" t="str">
        <f>IFERROR(VLOOKUP(F4,categorieen!$D:$E,2,FALSE),"")</f>
        <v>3x dezelfde letter</v>
      </c>
      <c r="Q4" s="12" t="str">
        <f>IFERROR(VLOOKUP(G4,categorieen!$D:$E,2,FALSE),"")</f>
        <v/>
      </c>
      <c r="R4" s="12" t="str">
        <f>IFERROR(VLOOKUP(H4,categorieen!$D:$E,2,FALSE),"")</f>
        <v/>
      </c>
      <c r="S4" s="12" t="str">
        <f>IFERROR(VLOOKUP(I4,categorieen!$D:$E,2,FALSE),"")</f>
        <v/>
      </c>
      <c r="T4" s="12" t="str">
        <f>IFERROR(VLOOKUP(J4,categorieen!$D:$E,2,FALSE),"")</f>
        <v/>
      </c>
    </row>
    <row r="5" spans="1:20" x14ac:dyDescent="0.25">
      <c r="A5" s="15" t="s">
        <v>232</v>
      </c>
      <c r="B5" s="13"/>
      <c r="C5" s="11">
        <v>5</v>
      </c>
      <c r="D5" s="11">
        <v>8</v>
      </c>
      <c r="E5" s="12"/>
      <c r="F5" s="12"/>
      <c r="G5" s="12"/>
      <c r="H5" s="12"/>
      <c r="I5" s="12"/>
      <c r="J5" s="12"/>
      <c r="K5" s="12"/>
      <c r="L5" s="12"/>
      <c r="M5" s="12" t="str">
        <f>IFERROR(VLOOKUP(C5,categorieen!$D:$E,2,FALSE),"")</f>
        <v>Bekende Brabanders</v>
      </c>
      <c r="N5" s="12" t="str">
        <f>IFERROR(VLOOKUP(D5,categorieen!$D:$E,2,FALSE),"")</f>
        <v>040 (Eindhoven)</v>
      </c>
      <c r="O5" s="12" t="str">
        <f>IFERROR(VLOOKUP(E5,categorieen!$D:$E,2,FALSE),"")</f>
        <v/>
      </c>
      <c r="P5" s="12" t="str">
        <f>IFERROR(VLOOKUP(F5,categorieen!$D:$E,2,FALSE),"")</f>
        <v/>
      </c>
      <c r="Q5" s="12" t="str">
        <f>IFERROR(VLOOKUP(G5,categorieen!$D:$E,2,FALSE),"")</f>
        <v/>
      </c>
      <c r="R5" s="12" t="str">
        <f>IFERROR(VLOOKUP(H5,categorieen!$D:$E,2,FALSE),"")</f>
        <v/>
      </c>
      <c r="S5" s="12" t="str">
        <f>IFERROR(VLOOKUP(I5,categorieen!$D:$E,2,FALSE),"")</f>
        <v/>
      </c>
      <c r="T5" s="12" t="str">
        <f>IFERROR(VLOOKUP(J5,categorieen!$D:$E,2,FALSE),"")</f>
        <v/>
      </c>
    </row>
    <row r="6" spans="1:20" x14ac:dyDescent="0.25">
      <c r="A6" s="12" t="s">
        <v>50</v>
      </c>
      <c r="B6" s="13" t="s">
        <v>200</v>
      </c>
      <c r="C6" s="12">
        <v>16</v>
      </c>
      <c r="D6" s="12">
        <v>43</v>
      </c>
      <c r="E6" s="12">
        <v>27</v>
      </c>
      <c r="F6" s="12"/>
      <c r="G6" s="12"/>
      <c r="H6" s="12"/>
      <c r="I6" s="12"/>
      <c r="J6" s="12"/>
      <c r="K6" s="12"/>
      <c r="L6" s="12"/>
      <c r="M6" s="12" t="str">
        <f>IFERROR(VLOOKUP(C6,categorieen!$D:$E,2,FALSE),"")</f>
        <v>Buurtschap</v>
      </c>
      <c r="N6" s="12" t="str">
        <f>IFERROR(VLOOKUP(D6,categorieen!$D:$E,2,FALSE),"")</f>
        <v>Dierlijk</v>
      </c>
      <c r="O6" s="12" t="str">
        <f>IFERROR(VLOOKUP(E6,categorieen!$D:$E,2,FALSE),"")</f>
        <v>Eten en Drinken (ED)</v>
      </c>
      <c r="P6" s="12" t="str">
        <f>IFERROR(VLOOKUP(F6,categorieen!$D:$E,2,FALSE),"")</f>
        <v/>
      </c>
      <c r="Q6" s="12" t="str">
        <f>IFERROR(VLOOKUP(G6,categorieen!$D:$E,2,FALSE),"")</f>
        <v/>
      </c>
      <c r="R6" s="12" t="str">
        <f>IFERROR(VLOOKUP(H6,categorieen!$D:$E,2,FALSE),"")</f>
        <v/>
      </c>
      <c r="S6" s="12" t="str">
        <f>IFERROR(VLOOKUP(I6,categorieen!$D:$E,2,FALSE),"")</f>
        <v/>
      </c>
      <c r="T6" s="12" t="str">
        <f>IFERROR(VLOOKUP(J6,categorieen!$D:$E,2,FALSE),"")</f>
        <v/>
      </c>
    </row>
    <row r="7" spans="1:20" x14ac:dyDescent="0.25">
      <c r="A7" s="12" t="s">
        <v>51</v>
      </c>
      <c r="B7" s="13"/>
      <c r="C7" s="12">
        <v>34</v>
      </c>
      <c r="D7" s="12">
        <v>2</v>
      </c>
      <c r="E7" s="12">
        <v>17</v>
      </c>
      <c r="F7" s="12">
        <v>21</v>
      </c>
      <c r="G7" s="12"/>
      <c r="H7" s="12"/>
      <c r="I7" s="12"/>
      <c r="J7" s="12"/>
      <c r="K7" s="12"/>
      <c r="L7" s="12"/>
      <c r="M7" s="12" t="str">
        <f>IFERROR(VLOOKUP(C7,categorieen!$D:$E,2,FALSE),"")</f>
        <v>Met 4 Wieken</v>
      </c>
      <c r="N7" s="12" t="str">
        <f>IFERROR(VLOOKUP(D7,categorieen!$D:$E,2,FALSE),"")</f>
        <v>(stand)beeld / (Rijks)monument</v>
      </c>
      <c r="O7" s="12" t="str">
        <f>IFERROR(VLOOKUP(E7,categorieen!$D:$E,2,FALSE),"")</f>
        <v>Met dubbel s</v>
      </c>
      <c r="P7" s="12" t="str">
        <f>IFERROR(VLOOKUP(F7,categorieen!$D:$E,2,FALSE),"")</f>
        <v>West Brabant</v>
      </c>
      <c r="Q7" s="12" t="str">
        <f>IFERROR(VLOOKUP(G7,categorieen!$D:$E,2,FALSE),"")</f>
        <v/>
      </c>
      <c r="R7" s="12" t="str">
        <f>IFERROR(VLOOKUP(H7,categorieen!$D:$E,2,FALSE),"")</f>
        <v/>
      </c>
      <c r="S7" s="12" t="str">
        <f>IFERROR(VLOOKUP(I7,categorieen!$D:$E,2,FALSE),"")</f>
        <v/>
      </c>
      <c r="T7" s="12" t="str">
        <f>IFERROR(VLOOKUP(J7,categorieen!$D:$E,2,FALSE),"")</f>
        <v/>
      </c>
    </row>
    <row r="8" spans="1:20" x14ac:dyDescent="0.25">
      <c r="A8" s="12" t="s">
        <v>52</v>
      </c>
      <c r="B8" s="13" t="s">
        <v>212</v>
      </c>
      <c r="C8" s="12">
        <v>15</v>
      </c>
      <c r="D8" s="12">
        <v>37</v>
      </c>
      <c r="E8" s="12">
        <v>8</v>
      </c>
      <c r="F8" s="12">
        <v>41</v>
      </c>
      <c r="G8" s="12"/>
      <c r="H8" s="12"/>
      <c r="I8" s="12"/>
      <c r="J8" s="12"/>
      <c r="K8" s="12"/>
      <c r="L8" s="12"/>
      <c r="M8" s="12" t="str">
        <f>IFERROR(VLOOKUP(C8,categorieen!$D:$E,2,FALSE),"")</f>
        <v>Getal/Cijfer</v>
      </c>
      <c r="N8" s="12" t="str">
        <f>IFERROR(VLOOKUP(D8,categorieen!$D:$E,2,FALSE),"")</f>
        <v>s Hertogenbosch (DB)</v>
      </c>
      <c r="O8" s="12" t="str">
        <f>IFERROR(VLOOKUP(E8,categorieen!$D:$E,2,FALSE),"")</f>
        <v>040 (Eindhoven)</v>
      </c>
      <c r="P8" s="12" t="str">
        <f>IFERROR(VLOOKUP(F8,categorieen!$D:$E,2,FALSE),"")</f>
        <v>Vught</v>
      </c>
      <c r="Q8" s="12" t="str">
        <f>IFERROR(VLOOKUP(G8,categorieen!$D:$E,2,FALSE),"")</f>
        <v/>
      </c>
      <c r="R8" s="12" t="str">
        <f>IFERROR(VLOOKUP(H8,categorieen!$D:$E,2,FALSE),"")</f>
        <v/>
      </c>
      <c r="S8" s="12" t="str">
        <f>IFERROR(VLOOKUP(I8,categorieen!$D:$E,2,FALSE),"")</f>
        <v/>
      </c>
      <c r="T8" s="12" t="str">
        <f>IFERROR(VLOOKUP(J8,categorieen!$D:$E,2,FALSE),"")</f>
        <v/>
      </c>
    </row>
    <row r="9" spans="1:20" x14ac:dyDescent="0.25">
      <c r="A9" s="12" t="s">
        <v>53</v>
      </c>
      <c r="B9" s="13" t="s">
        <v>202</v>
      </c>
      <c r="C9" s="12">
        <v>3</v>
      </c>
      <c r="D9" s="12">
        <v>40</v>
      </c>
      <c r="E9" s="12">
        <v>6</v>
      </c>
      <c r="F9" s="12">
        <v>43</v>
      </c>
      <c r="G9" s="12">
        <v>27</v>
      </c>
      <c r="H9" s="12"/>
      <c r="I9" s="12"/>
      <c r="J9" s="12"/>
      <c r="K9" s="12"/>
      <c r="L9" s="12"/>
      <c r="M9" s="12" t="str">
        <f>IFERROR(VLOOKUP(C9,categorieen!$D:$E,2,FALSE),"")</f>
        <v>Begint met een B</v>
      </c>
      <c r="N9" s="12" t="str">
        <f>IFERROR(VLOOKUP(D9,categorieen!$D:$E,2,FALSE),"")</f>
        <v>Typisch Brabants (TB)</v>
      </c>
      <c r="O9" s="12" t="str">
        <f>IFERROR(VLOOKUP(E9,categorieen!$D:$E,2,FALSE),"")</f>
        <v>Met B en B</v>
      </c>
      <c r="P9" s="12" t="str">
        <f>IFERROR(VLOOKUP(F9,categorieen!$D:$E,2,FALSE),"")</f>
        <v>Dierlijk</v>
      </c>
      <c r="Q9" s="12" t="str">
        <f>IFERROR(VLOOKUP(G9,categorieen!$D:$E,2,FALSE),"")</f>
        <v>Eten en Drinken (ED)</v>
      </c>
      <c r="R9" s="12" t="str">
        <f>IFERROR(VLOOKUP(H9,categorieen!$D:$E,2,FALSE),"")</f>
        <v/>
      </c>
      <c r="S9" s="12" t="str">
        <f>IFERROR(VLOOKUP(I9,categorieen!$D:$E,2,FALSE),"")</f>
        <v/>
      </c>
      <c r="T9" s="12" t="str">
        <f>IFERROR(VLOOKUP(J9,categorieen!$D:$E,2,FALSE),"")</f>
        <v/>
      </c>
    </row>
    <row r="10" spans="1:20" x14ac:dyDescent="0.25">
      <c r="A10" s="12" t="s">
        <v>54</v>
      </c>
      <c r="B10" s="16" t="s">
        <v>203</v>
      </c>
      <c r="C10" s="12">
        <v>3</v>
      </c>
      <c r="D10" s="12">
        <v>24</v>
      </c>
      <c r="E10" s="12">
        <v>30</v>
      </c>
      <c r="F10" s="12"/>
      <c r="G10" s="12"/>
      <c r="H10" s="12"/>
      <c r="I10" s="12"/>
      <c r="J10" s="12"/>
      <c r="K10" s="12"/>
      <c r="L10" s="12"/>
      <c r="M10" s="12" t="str">
        <f>IFERROR(VLOOKUP(C10,categorieen!$D:$E,2,FALSE),"")</f>
        <v>Begint met een B</v>
      </c>
      <c r="N10" s="12" t="str">
        <f>IFERROR(VLOOKUP(D10,categorieen!$D:$E,2,FALSE),"")</f>
        <v>3 of 4 letters</v>
      </c>
      <c r="O10" s="12" t="str">
        <f>IFERROR(VLOOKUP(E10,categorieen!$D:$E,2,FALSE),"")</f>
        <v>In de volksmond (IDV)</v>
      </c>
      <c r="P10" s="12" t="str">
        <f>IFERROR(VLOOKUP(F10,categorieen!$D:$E,2,FALSE),"")</f>
        <v/>
      </c>
      <c r="Q10" s="12" t="str">
        <f>IFERROR(VLOOKUP(G10,categorieen!$D:$E,2,FALSE),"")</f>
        <v/>
      </c>
      <c r="R10" s="12" t="str">
        <f>IFERROR(VLOOKUP(H10,categorieen!$D:$E,2,FALSE),"")</f>
        <v/>
      </c>
      <c r="S10" s="12" t="str">
        <f>IFERROR(VLOOKUP(I10,categorieen!$D:$E,2,FALSE),"")</f>
        <v/>
      </c>
      <c r="T10" s="12" t="str">
        <f>IFERROR(VLOOKUP(J10,categorieen!$D:$E,2,FALSE),"")</f>
        <v/>
      </c>
    </row>
    <row r="11" spans="1:20" x14ac:dyDescent="0.25">
      <c r="A11" s="17" t="s">
        <v>233</v>
      </c>
      <c r="B11" s="13" t="s">
        <v>204</v>
      </c>
      <c r="C11" s="11">
        <v>11</v>
      </c>
      <c r="D11" s="11">
        <v>3</v>
      </c>
      <c r="E11" s="12"/>
      <c r="F11" s="12"/>
      <c r="G11" s="12"/>
      <c r="H11" s="12"/>
      <c r="I11" s="12"/>
      <c r="J11" s="12"/>
      <c r="K11" s="12"/>
      <c r="L11" s="12"/>
      <c r="M11" s="12" t="str">
        <f>IFERROR(VLOOKUP(C11,categorieen!$D:$E,2,FALSE),"")</f>
        <v>Tilburg</v>
      </c>
      <c r="N11" s="12" t="str">
        <f>IFERROR(VLOOKUP(D11,categorieen!$D:$E,2,FALSE),"")</f>
        <v>Begint met een B</v>
      </c>
      <c r="O11" s="12" t="str">
        <f>IFERROR(VLOOKUP(E11,categorieen!$D:$E,2,FALSE),"")</f>
        <v/>
      </c>
      <c r="P11" s="12" t="str">
        <f>IFERROR(VLOOKUP(F11,categorieen!$D:$E,2,FALSE),"")</f>
        <v/>
      </c>
      <c r="Q11" s="12" t="str">
        <f>IFERROR(VLOOKUP(G11,categorieen!$D:$E,2,FALSE),"")</f>
        <v/>
      </c>
      <c r="R11" s="12" t="str">
        <f>IFERROR(VLOOKUP(H11,categorieen!$D:$E,2,FALSE),"")</f>
        <v/>
      </c>
      <c r="S11" s="12" t="str">
        <f>IFERROR(VLOOKUP(I11,categorieen!$D:$E,2,FALSE),"")</f>
        <v/>
      </c>
      <c r="T11" s="12" t="str">
        <f>IFERROR(VLOOKUP(J11,categorieen!$D:$E,2,FALSE),"")</f>
        <v/>
      </c>
    </row>
    <row r="12" spans="1:20" s="4" customFormat="1" x14ac:dyDescent="0.25">
      <c r="A12" s="18" t="s">
        <v>183</v>
      </c>
      <c r="B12" s="19" t="s">
        <v>222</v>
      </c>
      <c r="C12" s="11">
        <v>6</v>
      </c>
      <c r="D12" s="12">
        <v>29</v>
      </c>
      <c r="E12" s="12">
        <v>43</v>
      </c>
      <c r="F12" s="12">
        <v>20</v>
      </c>
      <c r="G12" s="11"/>
      <c r="H12" s="11"/>
      <c r="I12" s="11"/>
      <c r="J12" s="11"/>
      <c r="K12" s="11"/>
      <c r="L12" s="12"/>
      <c r="M12" s="12" t="str">
        <f>IFERROR(VLOOKUP(C12,categorieen!$D:$E,2,FALSE),"")</f>
        <v>Met B en B</v>
      </c>
      <c r="N12" s="12" t="str">
        <f>IFERROR(VLOOKUP(D12,categorieen!$D:$E,2,FALSE),"")</f>
        <v>Hilvarenbeek</v>
      </c>
      <c r="O12" s="12" t="str">
        <f>IFERROR(VLOOKUP(E12,categorieen!$D:$E,2,FALSE),"")</f>
        <v>Dierlijk</v>
      </c>
      <c r="P12" s="12" t="str">
        <f>IFERROR(VLOOKUP(F12,categorieen!$D:$E,2,FALSE),"")</f>
        <v>Festival</v>
      </c>
      <c r="Q12" s="12" t="str">
        <f>IFERROR(VLOOKUP(G12,categorieen!$D:$E,2,FALSE),"")</f>
        <v/>
      </c>
      <c r="R12" s="12" t="str">
        <f>IFERROR(VLOOKUP(H12,categorieen!$D:$E,2,FALSE),"")</f>
        <v/>
      </c>
      <c r="S12" s="12" t="str">
        <f>IFERROR(VLOOKUP(I12,categorieen!$D:$E,2,FALSE),"")</f>
        <v/>
      </c>
      <c r="T12" s="12" t="str">
        <f>IFERROR(VLOOKUP(J12,categorieen!$D:$E,2,FALSE),"")</f>
        <v/>
      </c>
    </row>
    <row r="13" spans="1:20" x14ac:dyDescent="0.25">
      <c r="A13" s="12" t="s">
        <v>55</v>
      </c>
      <c r="B13" s="13" t="s">
        <v>223</v>
      </c>
      <c r="C13" s="12">
        <v>12</v>
      </c>
      <c r="D13" s="12">
        <v>3</v>
      </c>
      <c r="E13" s="12">
        <v>19</v>
      </c>
      <c r="F13" s="12">
        <v>4</v>
      </c>
      <c r="G13" s="12">
        <v>27</v>
      </c>
      <c r="H13" s="12">
        <v>22</v>
      </c>
      <c r="I13" s="12">
        <v>35</v>
      </c>
      <c r="J13" s="12"/>
      <c r="K13" s="12"/>
      <c r="L13" s="12"/>
      <c r="M13" s="12" t="str">
        <f>IFERROR(VLOOKUP(C13,categorieen!$D:$E,2,FALSE),"")</f>
        <v>Water</v>
      </c>
      <c r="N13" s="12" t="str">
        <f>IFERROR(VLOOKUP(D13,categorieen!$D:$E,2,FALSE),"")</f>
        <v>Begint met een B</v>
      </c>
      <c r="O13" s="12" t="str">
        <f>IFERROR(VLOOKUP(E13,categorieen!$D:$E,2,FALSE),"")</f>
        <v>Natuur</v>
      </c>
      <c r="P13" s="12" t="str">
        <f>IFERROR(VLOOKUP(F13,categorieen!$D:$E,2,FALSE),"")</f>
        <v>Zes letters</v>
      </c>
      <c r="Q13" s="12" t="str">
        <f>IFERROR(VLOOKUP(G13,categorieen!$D:$E,2,FALSE),"")</f>
        <v>Eten en Drinken (ED)</v>
      </c>
      <c r="R13" s="12" t="str">
        <f>IFERROR(VLOOKUP(H13,categorieen!$D:$E,2,FALSE),"")</f>
        <v>3x dezelfde letter</v>
      </c>
      <c r="S13" s="12" t="str">
        <f>IFERROR(VLOOKUP(I13,categorieen!$D:$E,2,FALSE),"")</f>
        <v>Parel in het Groen (PITG)</v>
      </c>
      <c r="T13" s="12" t="str">
        <f>IFERROR(VLOOKUP(J13,categorieen!$D:$E,2,FALSE),"")</f>
        <v/>
      </c>
    </row>
    <row r="14" spans="1:20" x14ac:dyDescent="0.25">
      <c r="A14" s="12" t="s">
        <v>56</v>
      </c>
      <c r="B14" s="13" t="s">
        <v>224</v>
      </c>
      <c r="C14" s="12">
        <v>3</v>
      </c>
      <c r="D14" s="12">
        <v>4</v>
      </c>
      <c r="E14" s="12">
        <v>30</v>
      </c>
      <c r="F14" s="12">
        <v>40</v>
      </c>
      <c r="G14" s="12"/>
      <c r="H14" s="12"/>
      <c r="I14" s="12"/>
      <c r="J14" s="12"/>
      <c r="K14" s="12"/>
      <c r="L14" s="12"/>
      <c r="M14" s="12" t="str">
        <f>IFERROR(VLOOKUP(C14,categorieen!$D:$E,2,FALSE),"")</f>
        <v>Begint met een B</v>
      </c>
      <c r="N14" s="12" t="str">
        <f>IFERROR(VLOOKUP(D14,categorieen!$D:$E,2,FALSE),"")</f>
        <v>Zes letters</v>
      </c>
      <c r="O14" s="12" t="str">
        <f>IFERROR(VLOOKUP(E14,categorieen!$D:$E,2,FALSE),"")</f>
        <v>In de volksmond (IDV)</v>
      </c>
      <c r="P14" s="12" t="str">
        <f>IFERROR(VLOOKUP(F14,categorieen!$D:$E,2,FALSE),"")</f>
        <v>Typisch Brabants (TB)</v>
      </c>
      <c r="Q14" s="12" t="str">
        <f>IFERROR(VLOOKUP(G14,categorieen!$D:$E,2,FALSE),"")</f>
        <v/>
      </c>
      <c r="R14" s="12" t="str">
        <f>IFERROR(VLOOKUP(H14,categorieen!$D:$E,2,FALSE),"")</f>
        <v/>
      </c>
      <c r="S14" s="12" t="str">
        <f>IFERROR(VLOOKUP(I14,categorieen!$D:$E,2,FALSE),"")</f>
        <v/>
      </c>
      <c r="T14" s="12" t="str">
        <f>IFERROR(VLOOKUP(J14,categorieen!$D:$E,2,FALSE),"")</f>
        <v/>
      </c>
    </row>
    <row r="15" spans="1:20" x14ac:dyDescent="0.25">
      <c r="A15" s="12" t="s">
        <v>57</v>
      </c>
      <c r="B15" s="13" t="s">
        <v>225</v>
      </c>
      <c r="C15" s="12">
        <v>21</v>
      </c>
      <c r="D15" s="12">
        <v>3</v>
      </c>
      <c r="E15" s="12">
        <v>22</v>
      </c>
      <c r="F15" s="12">
        <v>12</v>
      </c>
      <c r="G15" s="12"/>
      <c r="H15" s="12"/>
      <c r="I15" s="12"/>
      <c r="J15" s="12"/>
      <c r="K15" s="12"/>
      <c r="L15" s="12"/>
      <c r="M15" s="12" t="str">
        <f>IFERROR(VLOOKUP(C15,categorieen!$D:$E,2,FALSE),"")</f>
        <v>West Brabant</v>
      </c>
      <c r="N15" s="12" t="str">
        <f>IFERROR(VLOOKUP(D15,categorieen!$D:$E,2,FALSE),"")</f>
        <v>Begint met een B</v>
      </c>
      <c r="O15" s="12" t="str">
        <f>IFERROR(VLOOKUP(E15,categorieen!$D:$E,2,FALSE),"")</f>
        <v>3x dezelfde letter</v>
      </c>
      <c r="P15" s="12" t="str">
        <f>IFERROR(VLOOKUP(F15,categorieen!$D:$E,2,FALSE),"")</f>
        <v>Water</v>
      </c>
      <c r="Q15" s="12" t="str">
        <f>IFERROR(VLOOKUP(G15,categorieen!$D:$E,2,FALSE),"")</f>
        <v/>
      </c>
      <c r="R15" s="12" t="str">
        <f>IFERROR(VLOOKUP(H15,categorieen!$D:$E,2,FALSE),"")</f>
        <v/>
      </c>
      <c r="S15" s="12" t="str">
        <f>IFERROR(VLOOKUP(I15,categorieen!$D:$E,2,FALSE),"")</f>
        <v/>
      </c>
      <c r="T15" s="12" t="str">
        <f>IFERROR(VLOOKUP(J15,categorieen!$D:$E,2,FALSE),"")</f>
        <v/>
      </c>
    </row>
    <row r="16" spans="1:20" x14ac:dyDescent="0.25">
      <c r="A16" s="17" t="s">
        <v>182</v>
      </c>
      <c r="B16" s="13"/>
      <c r="C16" s="11">
        <v>3</v>
      </c>
      <c r="D16" s="11">
        <v>12</v>
      </c>
      <c r="E16" s="12"/>
      <c r="F16" s="12"/>
      <c r="G16" s="12"/>
      <c r="H16" s="12"/>
      <c r="I16" s="12"/>
      <c r="J16" s="12"/>
      <c r="K16" s="12"/>
      <c r="L16" s="12"/>
      <c r="M16" s="12" t="str">
        <f>IFERROR(VLOOKUP(C16,categorieen!$D:$E,2,FALSE),"")</f>
        <v>Begint met een B</v>
      </c>
      <c r="N16" s="12" t="str">
        <f>IFERROR(VLOOKUP(D16,categorieen!$D:$E,2,FALSE),"")</f>
        <v>Water</v>
      </c>
      <c r="O16" s="12" t="str">
        <f>IFERROR(VLOOKUP(E16,categorieen!$D:$E,2,FALSE),"")</f>
        <v/>
      </c>
      <c r="P16" s="12" t="str">
        <f>IFERROR(VLOOKUP(F16,categorieen!$D:$E,2,FALSE),"")</f>
        <v/>
      </c>
      <c r="Q16" s="12" t="str">
        <f>IFERROR(VLOOKUP(G16,categorieen!$D:$E,2,FALSE),"")</f>
        <v/>
      </c>
      <c r="R16" s="12" t="str">
        <f>IFERROR(VLOOKUP(H16,categorieen!$D:$E,2,FALSE),"")</f>
        <v/>
      </c>
      <c r="S16" s="12" t="str">
        <f>IFERROR(VLOOKUP(I16,categorieen!$D:$E,2,FALSE),"")</f>
        <v/>
      </c>
      <c r="T16" s="12" t="str">
        <f>IFERROR(VLOOKUP(J16,categorieen!$D:$E,2,FALSE),"")</f>
        <v/>
      </c>
    </row>
    <row r="17" spans="1:20" ht="30" x14ac:dyDescent="0.25">
      <c r="A17" s="12" t="s">
        <v>58</v>
      </c>
      <c r="B17" s="13" t="s">
        <v>226</v>
      </c>
      <c r="C17" s="12">
        <v>24</v>
      </c>
      <c r="D17" s="12">
        <v>3</v>
      </c>
      <c r="E17" s="12">
        <v>1</v>
      </c>
      <c r="F17" s="12">
        <v>32</v>
      </c>
      <c r="G17" s="12">
        <v>6</v>
      </c>
      <c r="H17" s="12">
        <v>40</v>
      </c>
      <c r="I17" s="12"/>
      <c r="J17" s="12"/>
      <c r="K17" s="12"/>
      <c r="L17" s="12"/>
      <c r="M17" s="12" t="str">
        <f>IFERROR(VLOOKUP(C17,categorieen!$D:$E,2,FALSE),"")</f>
        <v>3 of 4 letters</v>
      </c>
      <c r="N17" s="12" t="str">
        <f>IFERROR(VLOOKUP(D17,categorieen!$D:$E,2,FALSE),"")</f>
        <v>Begint met een B</v>
      </c>
      <c r="O17" s="12" t="str">
        <f>IFERROR(VLOOKUP(E17,categorieen!$D:$E,2,FALSE),"")</f>
        <v>Eerste- en Eindletter hetzelfde</v>
      </c>
      <c r="P17" s="12" t="str">
        <f>IFERROR(VLOOKUP(F17,categorieen!$D:$E,2,FALSE),"")</f>
        <v>Met ie</v>
      </c>
      <c r="Q17" s="12" t="str">
        <f>IFERROR(VLOOKUP(G17,categorieen!$D:$E,2,FALSE),"")</f>
        <v>Met B en B</v>
      </c>
      <c r="R17" s="12" t="str">
        <f>IFERROR(VLOOKUP(H17,categorieen!$D:$E,2,FALSE),"")</f>
        <v>Typisch Brabants (TB)</v>
      </c>
      <c r="S17" s="12" t="str">
        <f>IFERROR(VLOOKUP(I17,categorieen!$D:$E,2,FALSE),"")</f>
        <v/>
      </c>
      <c r="T17" s="12" t="str">
        <f>IFERROR(VLOOKUP(J17,categorieen!$D:$E,2,FALSE),"")</f>
        <v/>
      </c>
    </row>
    <row r="18" spans="1:20" x14ac:dyDescent="0.25">
      <c r="A18" s="12" t="s">
        <v>59</v>
      </c>
      <c r="B18" s="13"/>
      <c r="C18" s="12">
        <v>32</v>
      </c>
      <c r="D18" s="12">
        <v>29</v>
      </c>
      <c r="E18" s="12">
        <v>3</v>
      </c>
      <c r="F18" s="12">
        <v>27</v>
      </c>
      <c r="G18" s="12">
        <v>22</v>
      </c>
      <c r="H18" s="12">
        <v>40</v>
      </c>
      <c r="I18" s="12">
        <v>6</v>
      </c>
      <c r="J18" s="12"/>
      <c r="K18" s="12"/>
      <c r="L18" s="12"/>
      <c r="M18" s="12" t="str">
        <f>IFERROR(VLOOKUP(C18,categorieen!$D:$E,2,FALSE),"")</f>
        <v>Met ie</v>
      </c>
      <c r="N18" s="12" t="str">
        <f>IFERROR(VLOOKUP(D18,categorieen!$D:$E,2,FALSE),"")</f>
        <v>Hilvarenbeek</v>
      </c>
      <c r="O18" s="12" t="str">
        <f>IFERROR(VLOOKUP(E18,categorieen!$D:$E,2,FALSE),"")</f>
        <v>Begint met een B</v>
      </c>
      <c r="P18" s="12" t="str">
        <f>IFERROR(VLOOKUP(F18,categorieen!$D:$E,2,FALSE),"")</f>
        <v>Eten en Drinken (ED)</v>
      </c>
      <c r="Q18" s="12" t="str">
        <f>IFERROR(VLOOKUP(G18,categorieen!$D:$E,2,FALSE),"")</f>
        <v>3x dezelfde letter</v>
      </c>
      <c r="R18" s="12" t="str">
        <f>IFERROR(VLOOKUP(H18,categorieen!$D:$E,2,FALSE),"")</f>
        <v>Typisch Brabants (TB)</v>
      </c>
      <c r="S18" s="12" t="str">
        <f>IFERROR(VLOOKUP(I18,categorieen!$D:$E,2,FALSE),"")</f>
        <v>Met B en B</v>
      </c>
      <c r="T18" s="12" t="str">
        <f>IFERROR(VLOOKUP(J18,categorieen!$D:$E,2,FALSE),"")</f>
        <v/>
      </c>
    </row>
    <row r="19" spans="1:20" x14ac:dyDescent="0.25">
      <c r="A19" s="17" t="s">
        <v>184</v>
      </c>
      <c r="B19" s="13" t="s">
        <v>227</v>
      </c>
      <c r="C19" s="11">
        <v>6</v>
      </c>
      <c r="D19" s="11">
        <v>19</v>
      </c>
      <c r="E19" s="12"/>
      <c r="F19" s="12"/>
      <c r="G19" s="12"/>
      <c r="H19" s="12"/>
      <c r="I19" s="12"/>
      <c r="J19" s="12"/>
      <c r="K19" s="12"/>
      <c r="L19" s="12"/>
      <c r="M19" s="12" t="str">
        <f>IFERROR(VLOOKUP(C19,categorieen!$D:$E,2,FALSE),"")</f>
        <v>Met B en B</v>
      </c>
      <c r="N19" s="12" t="str">
        <f>IFERROR(VLOOKUP(D19,categorieen!$D:$E,2,FALSE),"")</f>
        <v>Natuur</v>
      </c>
      <c r="O19" s="12" t="str">
        <f>IFERROR(VLOOKUP(E19,categorieen!$D:$E,2,FALSE),"")</f>
        <v/>
      </c>
      <c r="P19" s="12" t="str">
        <f>IFERROR(VLOOKUP(F19,categorieen!$D:$E,2,FALSE),"")</f>
        <v/>
      </c>
      <c r="Q19" s="12" t="str">
        <f>IFERROR(VLOOKUP(G19,categorieen!$D:$E,2,FALSE),"")</f>
        <v/>
      </c>
      <c r="R19" s="12" t="str">
        <f>IFERROR(VLOOKUP(H19,categorieen!$D:$E,2,FALSE),"")</f>
        <v/>
      </c>
      <c r="S19" s="12" t="str">
        <f>IFERROR(VLOOKUP(I19,categorieen!$D:$E,2,FALSE),"")</f>
        <v/>
      </c>
      <c r="T19" s="12" t="str">
        <f>IFERROR(VLOOKUP(J19,categorieen!$D:$E,2,FALSE),"")</f>
        <v/>
      </c>
    </row>
    <row r="20" spans="1:20" x14ac:dyDescent="0.25">
      <c r="A20" s="12" t="s">
        <v>61</v>
      </c>
      <c r="B20" s="13" t="s">
        <v>192</v>
      </c>
      <c r="C20" s="12">
        <v>6</v>
      </c>
      <c r="D20" s="12">
        <v>38</v>
      </c>
      <c r="E20" s="12">
        <v>3</v>
      </c>
      <c r="F20" s="12">
        <v>32</v>
      </c>
      <c r="G20" s="12">
        <v>29</v>
      </c>
      <c r="H20" s="12">
        <v>22</v>
      </c>
      <c r="I20" s="12"/>
      <c r="J20" s="12"/>
      <c r="K20" s="12"/>
      <c r="L20" s="12"/>
      <c r="M20" s="12" t="str">
        <f>IFERROR(VLOOKUP(C20,categorieen!$D:$E,2,FALSE),"")</f>
        <v>Met B en B</v>
      </c>
      <c r="N20" s="12" t="str">
        <f>IFERROR(VLOOKUP(D20,categorieen!$D:$E,2,FALSE),"")</f>
        <v>Sport</v>
      </c>
      <c r="O20" s="12" t="str">
        <f>IFERROR(VLOOKUP(E20,categorieen!$D:$E,2,FALSE),"")</f>
        <v>Begint met een B</v>
      </c>
      <c r="P20" s="12" t="str">
        <f>IFERROR(VLOOKUP(F20,categorieen!$D:$E,2,FALSE),"")</f>
        <v>Met ie</v>
      </c>
      <c r="Q20" s="12" t="str">
        <f>IFERROR(VLOOKUP(G20,categorieen!$D:$E,2,FALSE),"")</f>
        <v>Hilvarenbeek</v>
      </c>
      <c r="R20" s="12" t="str">
        <f>IFERROR(VLOOKUP(H20,categorieen!$D:$E,2,FALSE),"")</f>
        <v>3x dezelfde letter</v>
      </c>
      <c r="S20" s="12" t="str">
        <f>IFERROR(VLOOKUP(I20,categorieen!$D:$E,2,FALSE),"")</f>
        <v/>
      </c>
      <c r="T20" s="12" t="str">
        <f>IFERROR(VLOOKUP(J20,categorieen!$D:$E,2,FALSE),"")</f>
        <v/>
      </c>
    </row>
    <row r="21" spans="1:20" x14ac:dyDescent="0.25">
      <c r="A21" s="12" t="s">
        <v>60</v>
      </c>
      <c r="B21" s="13" t="s">
        <v>228</v>
      </c>
      <c r="C21" s="12">
        <v>3</v>
      </c>
      <c r="D21" s="12">
        <v>12</v>
      </c>
      <c r="E21" s="12">
        <v>32</v>
      </c>
      <c r="F21" s="12">
        <v>37</v>
      </c>
      <c r="G21" s="12"/>
      <c r="H21" s="12"/>
      <c r="I21" s="12"/>
      <c r="J21" s="12"/>
      <c r="K21" s="12"/>
      <c r="L21" s="12"/>
      <c r="M21" s="12" t="str">
        <f>IFERROR(VLOOKUP(C21,categorieen!$D:$E,2,FALSE),"")</f>
        <v>Begint met een B</v>
      </c>
      <c r="N21" s="12" t="str">
        <f>IFERROR(VLOOKUP(D21,categorieen!$D:$E,2,FALSE),"")</f>
        <v>Water</v>
      </c>
      <c r="O21" s="12" t="str">
        <f>IFERROR(VLOOKUP(E21,categorieen!$D:$E,2,FALSE),"")</f>
        <v>Met ie</v>
      </c>
      <c r="P21" s="12" t="str">
        <f>IFERROR(VLOOKUP(F21,categorieen!$D:$E,2,FALSE),"")</f>
        <v>s Hertogenbosch (DB)</v>
      </c>
      <c r="Q21" s="12" t="str">
        <f>IFERROR(VLOOKUP(G21,categorieen!$D:$E,2,FALSE),"")</f>
        <v/>
      </c>
      <c r="R21" s="12" t="str">
        <f>IFERROR(VLOOKUP(H21,categorieen!$D:$E,2,FALSE),"")</f>
        <v/>
      </c>
      <c r="S21" s="12" t="str">
        <f>IFERROR(VLOOKUP(I21,categorieen!$D:$E,2,FALSE),"")</f>
        <v/>
      </c>
      <c r="T21" s="12" t="str">
        <f>IFERROR(VLOOKUP(J21,categorieen!$D:$E,2,FALSE),"")</f>
        <v/>
      </c>
    </row>
    <row r="22" spans="1:20" x14ac:dyDescent="0.25">
      <c r="A22" s="12" t="s">
        <v>62</v>
      </c>
      <c r="B22" s="13" t="s">
        <v>229</v>
      </c>
      <c r="C22" s="12">
        <v>3</v>
      </c>
      <c r="D22" s="12">
        <v>4</v>
      </c>
      <c r="E22" s="12">
        <v>27</v>
      </c>
      <c r="F22" s="12">
        <v>38</v>
      </c>
      <c r="G22" s="12">
        <v>11</v>
      </c>
      <c r="H22" s="12">
        <v>12</v>
      </c>
      <c r="I22" s="12">
        <v>2</v>
      </c>
      <c r="J22" s="12">
        <v>37</v>
      </c>
      <c r="K22" s="12"/>
      <c r="L22" s="12"/>
      <c r="M22" s="12" t="str">
        <f>IFERROR(VLOOKUP(C22,categorieen!$D:$E,2,FALSE),"")</f>
        <v>Begint met een B</v>
      </c>
      <c r="N22" s="12" t="str">
        <f>IFERROR(VLOOKUP(D22,categorieen!$D:$E,2,FALSE),"")</f>
        <v>Zes letters</v>
      </c>
      <c r="O22" s="12" t="str">
        <f>IFERROR(VLOOKUP(E22,categorieen!$D:$E,2,FALSE),"")</f>
        <v>Eten en Drinken (ED)</v>
      </c>
      <c r="P22" s="12" t="str">
        <f>IFERROR(VLOOKUP(F22,categorieen!$D:$E,2,FALSE),"")</f>
        <v>Sport</v>
      </c>
      <c r="Q22" s="12" t="str">
        <f>IFERROR(VLOOKUP(G22,categorieen!$D:$E,2,FALSE),"")</f>
        <v>Tilburg</v>
      </c>
      <c r="R22" s="12" t="str">
        <f>IFERROR(VLOOKUP(H22,categorieen!$D:$E,2,FALSE),"")</f>
        <v>Water</v>
      </c>
      <c r="S22" s="12" t="str">
        <f>IFERROR(VLOOKUP(I22,categorieen!$D:$E,2,FALSE),"")</f>
        <v>(stand)beeld / (Rijks)monument</v>
      </c>
      <c r="T22" s="12" t="str">
        <f>IFERROR(VLOOKUP(J22,categorieen!$D:$E,2,FALSE),"")</f>
        <v>s Hertogenbosch (DB)</v>
      </c>
    </row>
    <row r="23" spans="1:20" x14ac:dyDescent="0.25">
      <c r="A23" s="11" t="s">
        <v>190</v>
      </c>
      <c r="B23" s="13" t="s">
        <v>235</v>
      </c>
      <c r="C23" s="11">
        <v>22</v>
      </c>
      <c r="D23" s="11">
        <v>2</v>
      </c>
      <c r="E23" s="12">
        <v>3</v>
      </c>
      <c r="F23" s="12">
        <v>17</v>
      </c>
      <c r="G23" s="12">
        <v>29</v>
      </c>
      <c r="H23" s="12">
        <v>36</v>
      </c>
      <c r="I23" s="12"/>
      <c r="J23" s="12"/>
      <c r="K23" s="12"/>
      <c r="L23" s="12"/>
      <c r="M23" s="12" t="str">
        <f>IFERROR(VLOOKUP(C23,categorieen!$D:$E,2,FALSE),"")</f>
        <v>3x dezelfde letter</v>
      </c>
      <c r="N23" s="12" t="str">
        <f>IFERROR(VLOOKUP(D23,categorieen!$D:$E,2,FALSE),"")</f>
        <v>(stand)beeld / (Rijks)monument</v>
      </c>
      <c r="O23" s="12" t="str">
        <f>IFERROR(VLOOKUP(E23,categorieen!$D:$E,2,FALSE),"")</f>
        <v>Begint met een B</v>
      </c>
      <c r="P23" s="12" t="str">
        <f>IFERROR(VLOOKUP(F23,categorieen!$D:$E,2,FALSE),"")</f>
        <v>Met dubbel s</v>
      </c>
      <c r="Q23" s="12" t="str">
        <f>IFERROR(VLOOKUP(G23,categorieen!$D:$E,2,FALSE),"")</f>
        <v>Hilvarenbeek</v>
      </c>
      <c r="R23" s="12" t="str">
        <f>IFERROR(VLOOKUP(H23,categorieen!$D:$E,2,FALSE),"")</f>
        <v>Plein</v>
      </c>
      <c r="S23" s="12" t="str">
        <f>IFERROR(VLOOKUP(I23,categorieen!$D:$E,2,FALSE),"")</f>
        <v/>
      </c>
      <c r="T23" s="12" t="str">
        <f>IFERROR(VLOOKUP(J23,categorieen!$D:$E,2,FALSE),"")</f>
        <v/>
      </c>
    </row>
    <row r="24" spans="1:20" x14ac:dyDescent="0.25">
      <c r="A24" s="11" t="s">
        <v>63</v>
      </c>
      <c r="B24" s="13" t="s">
        <v>195</v>
      </c>
      <c r="C24" s="12">
        <v>6</v>
      </c>
      <c r="D24" s="12">
        <v>3</v>
      </c>
      <c r="E24" s="12">
        <v>19</v>
      </c>
      <c r="F24" s="12">
        <v>37</v>
      </c>
      <c r="G24" s="12">
        <v>12</v>
      </c>
      <c r="H24" s="12"/>
      <c r="I24" s="12"/>
      <c r="J24" s="12"/>
      <c r="K24" s="12"/>
      <c r="L24" s="12"/>
      <c r="M24" s="12" t="str">
        <f>IFERROR(VLOOKUP(C24,categorieen!$D:$E,2,FALSE),"")</f>
        <v>Met B en B</v>
      </c>
      <c r="N24" s="12" t="str">
        <f>IFERROR(VLOOKUP(D24,categorieen!$D:$E,2,FALSE),"")</f>
        <v>Begint met een B</v>
      </c>
      <c r="O24" s="12" t="str">
        <f>IFERROR(VLOOKUP(E24,categorieen!$D:$E,2,FALSE),"")</f>
        <v>Natuur</v>
      </c>
      <c r="P24" s="12" t="str">
        <f>IFERROR(VLOOKUP(F24,categorieen!$D:$E,2,FALSE),"")</f>
        <v>s Hertogenbosch (DB)</v>
      </c>
      <c r="Q24" s="12" t="str">
        <f>IFERROR(VLOOKUP(G24,categorieen!$D:$E,2,FALSE),"")</f>
        <v>Water</v>
      </c>
      <c r="R24" s="12" t="str">
        <f>IFERROR(VLOOKUP(H24,categorieen!$D:$E,2,FALSE),"")</f>
        <v/>
      </c>
      <c r="S24" s="12" t="str">
        <f>IFERROR(VLOOKUP(I24,categorieen!$D:$E,2,FALSE),"")</f>
        <v/>
      </c>
      <c r="T24" s="12" t="str">
        <f>IFERROR(VLOOKUP(J24,categorieen!$D:$E,2,FALSE),"")</f>
        <v/>
      </c>
    </row>
    <row r="25" spans="1:20" x14ac:dyDescent="0.25">
      <c r="A25" s="12" t="s">
        <v>64</v>
      </c>
      <c r="B25" s="13" t="s">
        <v>14</v>
      </c>
      <c r="C25" s="12">
        <v>14</v>
      </c>
      <c r="D25" s="12">
        <v>3</v>
      </c>
      <c r="E25" s="12">
        <v>19</v>
      </c>
      <c r="F25" s="12">
        <v>33</v>
      </c>
      <c r="G25" s="12">
        <v>2</v>
      </c>
      <c r="H25" s="12">
        <v>27</v>
      </c>
      <c r="I25" s="12"/>
      <c r="J25" s="12"/>
      <c r="K25" s="12"/>
      <c r="L25" s="12"/>
      <c r="M25" s="12" t="str">
        <f>IFERROR(VLOOKUP(C25,categorieen!$D:$E,2,FALSE),"")</f>
        <v>Kasteel</v>
      </c>
      <c r="N25" s="12" t="str">
        <f>IFERROR(VLOOKUP(D25,categorieen!$D:$E,2,FALSE),"")</f>
        <v>Begint met een B</v>
      </c>
      <c r="O25" s="12" t="str">
        <f>IFERROR(VLOOKUP(E25,categorieen!$D:$E,2,FALSE),"")</f>
        <v>Natuur</v>
      </c>
      <c r="P25" s="12" t="str">
        <f>IFERROR(VLOOKUP(F25,categorieen!$D:$E,2,FALSE),"")</f>
        <v>076 (Breda)</v>
      </c>
      <c r="Q25" s="12" t="str">
        <f>IFERROR(VLOOKUP(G25,categorieen!$D:$E,2,FALSE),"")</f>
        <v>(stand)beeld / (Rijks)monument</v>
      </c>
      <c r="R25" s="12" t="str">
        <f>IFERROR(VLOOKUP(H25,categorieen!$D:$E,2,FALSE),"")</f>
        <v>Eten en Drinken (ED)</v>
      </c>
      <c r="S25" s="12" t="str">
        <f>IFERROR(VLOOKUP(I25,categorieen!$D:$E,2,FALSE),"")</f>
        <v/>
      </c>
      <c r="T25" s="12" t="str">
        <f>IFERROR(VLOOKUP(J25,categorieen!$D:$E,2,FALSE),"")</f>
        <v/>
      </c>
    </row>
    <row r="26" spans="1:20" x14ac:dyDescent="0.25">
      <c r="A26" s="11" t="s">
        <v>189</v>
      </c>
      <c r="B26" s="13" t="s">
        <v>196</v>
      </c>
      <c r="C26" s="11">
        <v>6</v>
      </c>
      <c r="D26" s="12">
        <v>5</v>
      </c>
      <c r="E26" s="12">
        <v>11</v>
      </c>
      <c r="F26" s="12">
        <v>38</v>
      </c>
      <c r="G26" s="11">
        <v>18</v>
      </c>
      <c r="H26" s="12">
        <v>3</v>
      </c>
      <c r="I26" s="12">
        <v>22</v>
      </c>
      <c r="J26" s="12"/>
      <c r="K26" s="12"/>
      <c r="L26" s="12"/>
      <c r="M26" s="12" t="str">
        <f>IFERROR(VLOOKUP(C26,categorieen!$D:$E,2,FALSE),"")</f>
        <v>Met B en B</v>
      </c>
      <c r="N26" s="12" t="str">
        <f>IFERROR(VLOOKUP(D26,categorieen!$D:$E,2,FALSE),"")</f>
        <v>Bekende Brabanders</v>
      </c>
      <c r="O26" s="12" t="str">
        <f>IFERROR(VLOOKUP(E26,categorieen!$D:$E,2,FALSE),"")</f>
        <v>Tilburg</v>
      </c>
      <c r="P26" s="12" t="str">
        <f>IFERROR(VLOOKUP(F26,categorieen!$D:$E,2,FALSE),"")</f>
        <v>Sport</v>
      </c>
      <c r="Q26" s="12" t="str">
        <f>IFERROR(VLOOKUP(G26,categorieen!$D:$E,2,FALSE),"")</f>
        <v>Willem II</v>
      </c>
      <c r="R26" s="12" t="str">
        <f>IFERROR(VLOOKUP(H26,categorieen!$D:$E,2,FALSE),"")</f>
        <v>Begint met een B</v>
      </c>
      <c r="S26" s="12" t="str">
        <f>IFERROR(VLOOKUP(I26,categorieen!$D:$E,2,FALSE),"")</f>
        <v>3x dezelfde letter</v>
      </c>
      <c r="T26" s="12" t="str">
        <f>IFERROR(VLOOKUP(J26,categorieen!$D:$E,2,FALSE),"")</f>
        <v/>
      </c>
    </row>
    <row r="27" spans="1:20" x14ac:dyDescent="0.25">
      <c r="A27" s="12" t="s">
        <v>65</v>
      </c>
      <c r="B27" s="13"/>
      <c r="C27" s="12">
        <v>8</v>
      </c>
      <c r="D27" s="12">
        <v>3</v>
      </c>
      <c r="E27" s="12">
        <v>14</v>
      </c>
      <c r="F27" s="12">
        <v>11</v>
      </c>
      <c r="G27" s="12"/>
      <c r="H27" s="12"/>
      <c r="I27" s="12"/>
      <c r="J27" s="12"/>
      <c r="K27" s="12"/>
      <c r="L27" s="12"/>
      <c r="M27" s="12" t="str">
        <f>IFERROR(VLOOKUP(C27,categorieen!$D:$E,2,FALSE),"")</f>
        <v>040 (Eindhoven)</v>
      </c>
      <c r="N27" s="12" t="str">
        <f>IFERROR(VLOOKUP(D27,categorieen!$D:$E,2,FALSE),"")</f>
        <v>Begint met een B</v>
      </c>
      <c r="O27" s="12" t="str">
        <f>IFERROR(VLOOKUP(E27,categorieen!$D:$E,2,FALSE),"")</f>
        <v>Kasteel</v>
      </c>
      <c r="P27" s="12" t="str">
        <f>IFERROR(VLOOKUP(F27,categorieen!$D:$E,2,FALSE),"")</f>
        <v>Tilburg</v>
      </c>
      <c r="Q27" s="12" t="str">
        <f>IFERROR(VLOOKUP(G27,categorieen!$D:$E,2,FALSE),"")</f>
        <v/>
      </c>
      <c r="R27" s="12" t="str">
        <f>IFERROR(VLOOKUP(H27,categorieen!$D:$E,2,FALSE),"")</f>
        <v/>
      </c>
      <c r="S27" s="12" t="str">
        <f>IFERROR(VLOOKUP(I27,categorieen!$D:$E,2,FALSE),"")</f>
        <v/>
      </c>
      <c r="T27" s="12" t="str">
        <f>IFERROR(VLOOKUP(J27,categorieen!$D:$E,2,FALSE),"")</f>
        <v/>
      </c>
    </row>
    <row r="28" spans="1:20" x14ac:dyDescent="0.25">
      <c r="A28" s="11" t="s">
        <v>66</v>
      </c>
      <c r="B28" s="13"/>
      <c r="C28" s="11">
        <v>6</v>
      </c>
      <c r="D28" s="11">
        <v>5</v>
      </c>
      <c r="E28" s="12">
        <v>11</v>
      </c>
      <c r="F28" s="12">
        <v>38</v>
      </c>
      <c r="G28" s="11">
        <v>18</v>
      </c>
      <c r="H28" s="12">
        <v>3</v>
      </c>
      <c r="I28" s="12"/>
      <c r="J28" s="12"/>
      <c r="K28" s="12"/>
      <c r="L28" s="12"/>
      <c r="M28" s="12" t="str">
        <f>IFERROR(VLOOKUP(C28,categorieen!$D:$E,2,FALSE),"")</f>
        <v>Met B en B</v>
      </c>
      <c r="N28" s="12" t="str">
        <f>IFERROR(VLOOKUP(D28,categorieen!$D:$E,2,FALSE),"")</f>
        <v>Bekende Brabanders</v>
      </c>
      <c r="O28" s="12" t="str">
        <f>IFERROR(VLOOKUP(E28,categorieen!$D:$E,2,FALSE),"")</f>
        <v>Tilburg</v>
      </c>
      <c r="P28" s="12" t="str">
        <f>IFERROR(VLOOKUP(F28,categorieen!$D:$E,2,FALSE),"")</f>
        <v>Sport</v>
      </c>
      <c r="Q28" s="12" t="str">
        <f>IFERROR(VLOOKUP(G28,categorieen!$D:$E,2,FALSE),"")</f>
        <v>Willem II</v>
      </c>
      <c r="R28" s="12" t="str">
        <f>IFERROR(VLOOKUP(H28,categorieen!$D:$E,2,FALSE),"")</f>
        <v>Begint met een B</v>
      </c>
      <c r="S28" s="12" t="str">
        <f>IFERROR(VLOOKUP(I28,categorieen!$D:$E,2,FALSE),"")</f>
        <v/>
      </c>
      <c r="T28" s="12" t="str">
        <f>IFERROR(VLOOKUP(J28,categorieen!$D:$E,2,FALSE),"")</f>
        <v/>
      </c>
    </row>
    <row r="29" spans="1:20" x14ac:dyDescent="0.25">
      <c r="A29" s="12" t="s">
        <v>67</v>
      </c>
      <c r="B29" s="13"/>
      <c r="C29" s="12">
        <v>32</v>
      </c>
      <c r="D29" s="12">
        <v>19</v>
      </c>
      <c r="E29" s="12">
        <v>12</v>
      </c>
      <c r="F29" s="12">
        <v>22</v>
      </c>
      <c r="G29" s="12"/>
      <c r="H29" s="12"/>
      <c r="I29" s="12"/>
      <c r="J29" s="12"/>
      <c r="K29" s="12"/>
      <c r="L29" s="12"/>
      <c r="M29" s="12" t="str">
        <f>IFERROR(VLOOKUP(C29,categorieen!$D:$E,2,FALSE),"")</f>
        <v>Met ie</v>
      </c>
      <c r="N29" s="12" t="str">
        <f>IFERROR(VLOOKUP(D29,categorieen!$D:$E,2,FALSE),"")</f>
        <v>Natuur</v>
      </c>
      <c r="O29" s="12" t="str">
        <f>IFERROR(VLOOKUP(E29,categorieen!$D:$E,2,FALSE),"")</f>
        <v>Water</v>
      </c>
      <c r="P29" s="12" t="str">
        <f>IFERROR(VLOOKUP(F29,categorieen!$D:$E,2,FALSE),"")</f>
        <v>3x dezelfde letter</v>
      </c>
      <c r="Q29" s="12" t="str">
        <f>IFERROR(VLOOKUP(G29,categorieen!$D:$E,2,FALSE),"")</f>
        <v/>
      </c>
      <c r="R29" s="12" t="str">
        <f>IFERROR(VLOOKUP(H29,categorieen!$D:$E,2,FALSE),"")</f>
        <v/>
      </c>
      <c r="S29" s="12" t="str">
        <f>IFERROR(VLOOKUP(I29,categorieen!$D:$E,2,FALSE),"")</f>
        <v/>
      </c>
      <c r="T29" s="12" t="str">
        <f>IFERROR(VLOOKUP(J29,categorieen!$D:$E,2,FALSE),"")</f>
        <v/>
      </c>
    </row>
    <row r="30" spans="1:20" ht="30" customHeight="1" x14ac:dyDescent="0.25">
      <c r="A30" s="12" t="s">
        <v>68</v>
      </c>
      <c r="B30" s="13" t="s">
        <v>75</v>
      </c>
      <c r="C30" s="12">
        <v>39</v>
      </c>
      <c r="D30" s="12">
        <v>33</v>
      </c>
      <c r="E30" s="12">
        <v>4</v>
      </c>
      <c r="F30" s="12">
        <v>5</v>
      </c>
      <c r="G30" s="12">
        <v>17</v>
      </c>
      <c r="H30" s="12">
        <v>2</v>
      </c>
      <c r="I30" s="12"/>
      <c r="J30" s="12"/>
      <c r="K30" s="12"/>
      <c r="L30" s="12"/>
      <c r="M30" s="12" t="str">
        <f>IFERROR(VLOOKUP(C30,categorieen!$D:$E,2,FALSE),"")</f>
        <v>Theater</v>
      </c>
      <c r="N30" s="12" t="str">
        <f>IFERROR(VLOOKUP(D30,categorieen!$D:$E,2,FALSE),"")</f>
        <v>076 (Breda)</v>
      </c>
      <c r="O30" s="12" t="str">
        <f>IFERROR(VLOOKUP(E30,categorieen!$D:$E,2,FALSE),"")</f>
        <v>Zes letters</v>
      </c>
      <c r="P30" s="12" t="str">
        <f>IFERROR(VLOOKUP(F30,categorieen!$D:$E,2,FALSE),"")</f>
        <v>Bekende Brabanders</v>
      </c>
      <c r="Q30" s="12" t="str">
        <f>IFERROR(VLOOKUP(G30,categorieen!$D:$E,2,FALSE),"")</f>
        <v>Met dubbel s</v>
      </c>
      <c r="R30" s="12" t="str">
        <f>IFERROR(VLOOKUP(H30,categorieen!$D:$E,2,FALSE),"")</f>
        <v>(stand)beeld / (Rijks)monument</v>
      </c>
      <c r="S30" s="12" t="str">
        <f>IFERROR(VLOOKUP(I30,categorieen!$D:$E,2,FALSE),"")</f>
        <v/>
      </c>
      <c r="T30" s="12" t="str">
        <f>IFERROR(VLOOKUP(J30,categorieen!$D:$E,2,FALSE),"")</f>
        <v/>
      </c>
    </row>
    <row r="31" spans="1:20" x14ac:dyDescent="0.25">
      <c r="A31" s="12" t="s">
        <v>69</v>
      </c>
      <c r="B31" s="13"/>
      <c r="C31" s="12">
        <v>22</v>
      </c>
      <c r="D31" s="12">
        <v>14</v>
      </c>
      <c r="E31" s="12">
        <v>3</v>
      </c>
      <c r="F31" s="12">
        <v>2</v>
      </c>
      <c r="G31" s="12">
        <v>31</v>
      </c>
      <c r="H31" s="12"/>
      <c r="I31" s="12"/>
      <c r="J31" s="12"/>
      <c r="K31" s="12"/>
      <c r="L31" s="12"/>
      <c r="M31" s="12" t="str">
        <f>IFERROR(VLOOKUP(C31,categorieen!$D:$E,2,FALSE),"")</f>
        <v>3x dezelfde letter</v>
      </c>
      <c r="N31" s="12" t="str">
        <f>IFERROR(VLOOKUP(D31,categorieen!$D:$E,2,FALSE),"")</f>
        <v>Kasteel</v>
      </c>
      <c r="O31" s="12" t="str">
        <f>IFERROR(VLOOKUP(E31,categorieen!$D:$E,2,FALSE),"")</f>
        <v>Begint met een B</v>
      </c>
      <c r="P31" s="12" t="str">
        <f>IFERROR(VLOOKUP(F31,categorieen!$D:$E,2,FALSE),"")</f>
        <v>(stand)beeld / (Rijks)monument</v>
      </c>
      <c r="Q31" s="12" t="str">
        <f>IFERROR(VLOOKUP(G31,categorieen!$D:$E,2,FALSE),"")</f>
        <v>Kleurrijk</v>
      </c>
      <c r="R31" s="12" t="str">
        <f>IFERROR(VLOOKUP(H31,categorieen!$D:$E,2,FALSE),"")</f>
        <v/>
      </c>
      <c r="S31" s="12" t="str">
        <f>IFERROR(VLOOKUP(I31,categorieen!$D:$E,2,FALSE),"")</f>
        <v/>
      </c>
      <c r="T31" s="12" t="str">
        <f>IFERROR(VLOOKUP(J31,categorieen!$D:$E,2,FALSE),"")</f>
        <v/>
      </c>
    </row>
    <row r="32" spans="1:20" x14ac:dyDescent="0.25">
      <c r="A32" s="12" t="s">
        <v>70</v>
      </c>
      <c r="B32" s="13"/>
      <c r="C32" s="12">
        <v>22</v>
      </c>
      <c r="D32" s="12">
        <v>1</v>
      </c>
      <c r="E32" s="12">
        <v>42</v>
      </c>
      <c r="F32" s="12">
        <v>27</v>
      </c>
      <c r="G32" s="12">
        <v>3</v>
      </c>
      <c r="H32" s="12"/>
      <c r="I32" s="12"/>
      <c r="J32" s="12"/>
      <c r="K32" s="12"/>
      <c r="L32" s="12"/>
      <c r="M32" s="12" t="str">
        <f>IFERROR(VLOOKUP(C32,categorieen!$D:$E,2,FALSE),"")</f>
        <v>3x dezelfde letter</v>
      </c>
      <c r="N32" s="12" t="str">
        <f>IFERROR(VLOOKUP(D32,categorieen!$D:$E,2,FALSE),"")</f>
        <v>Eerste- en Eindletter hetzelfde</v>
      </c>
      <c r="O32" s="12" t="str">
        <f>IFERROR(VLOOKUP(E32,categorieen!$D:$E,2,FALSE),"")</f>
        <v>7 letters</v>
      </c>
      <c r="P32" s="12" t="str">
        <f>IFERROR(VLOOKUP(F32,categorieen!$D:$E,2,FALSE),"")</f>
        <v>Eten en Drinken (ED)</v>
      </c>
      <c r="Q32" s="12" t="str">
        <f>IFERROR(VLOOKUP(G32,categorieen!$D:$E,2,FALSE),"")</f>
        <v>Begint met een B</v>
      </c>
      <c r="R32" s="12" t="str">
        <f>IFERROR(VLOOKUP(H32,categorieen!$D:$E,2,FALSE),"")</f>
        <v/>
      </c>
      <c r="S32" s="12" t="str">
        <f>IFERROR(VLOOKUP(I32,categorieen!$D:$E,2,FALSE),"")</f>
        <v/>
      </c>
      <c r="T32" s="12" t="str">
        <f>IFERROR(VLOOKUP(J32,categorieen!$D:$E,2,FALSE),"")</f>
        <v/>
      </c>
    </row>
    <row r="33" spans="1:20" x14ac:dyDescent="0.25">
      <c r="A33" s="12" t="s">
        <v>71</v>
      </c>
      <c r="B33" s="13"/>
      <c r="C33" s="12">
        <v>33</v>
      </c>
      <c r="D33" s="12">
        <v>21</v>
      </c>
      <c r="E33" s="12">
        <v>4</v>
      </c>
      <c r="F33" s="12">
        <v>15</v>
      </c>
      <c r="G33" s="12"/>
      <c r="H33" s="12"/>
      <c r="I33" s="12"/>
      <c r="J33" s="12"/>
      <c r="K33" s="12"/>
      <c r="L33" s="12"/>
      <c r="M33" s="12" t="str">
        <f>IFERROR(VLOOKUP(C33,categorieen!$D:$E,2,FALSE),"")</f>
        <v>076 (Breda)</v>
      </c>
      <c r="N33" s="12" t="str">
        <f>IFERROR(VLOOKUP(D33,categorieen!$D:$E,2,FALSE),"")</f>
        <v>West Brabant</v>
      </c>
      <c r="O33" s="12" t="str">
        <f>IFERROR(VLOOKUP(E33,categorieen!$D:$E,2,FALSE),"")</f>
        <v>Zes letters</v>
      </c>
      <c r="P33" s="12" t="str">
        <f>IFERROR(VLOOKUP(F33,categorieen!$D:$E,2,FALSE),"")</f>
        <v>Getal/Cijfer</v>
      </c>
      <c r="Q33" s="12" t="str">
        <f>IFERROR(VLOOKUP(G33,categorieen!$D:$E,2,FALSE),"")</f>
        <v/>
      </c>
      <c r="R33" s="12" t="str">
        <f>IFERROR(VLOOKUP(H33,categorieen!$D:$E,2,FALSE),"")</f>
        <v/>
      </c>
      <c r="S33" s="12" t="str">
        <f>IFERROR(VLOOKUP(I33,categorieen!$D:$E,2,FALSE),"")</f>
        <v/>
      </c>
      <c r="T33" s="12" t="str">
        <f>IFERROR(VLOOKUP(J33,categorieen!$D:$E,2,FALSE),"")</f>
        <v/>
      </c>
    </row>
    <row r="34" spans="1:20" x14ac:dyDescent="0.25">
      <c r="A34" s="12" t="s">
        <v>72</v>
      </c>
      <c r="B34" s="13"/>
      <c r="C34" s="12">
        <v>12</v>
      </c>
      <c r="D34" s="12">
        <v>19</v>
      </c>
      <c r="E34" s="12">
        <v>21</v>
      </c>
      <c r="F34" s="12">
        <v>39</v>
      </c>
      <c r="G34" s="12">
        <v>22</v>
      </c>
      <c r="H34" s="12">
        <v>34</v>
      </c>
      <c r="I34" s="12">
        <v>15</v>
      </c>
      <c r="J34" s="12"/>
      <c r="K34" s="12"/>
      <c r="L34" s="12"/>
      <c r="M34" s="12" t="str">
        <f>IFERROR(VLOOKUP(C34,categorieen!$D:$E,2,FALSE),"")</f>
        <v>Water</v>
      </c>
      <c r="N34" s="12" t="str">
        <f>IFERROR(VLOOKUP(D34,categorieen!$D:$E,2,FALSE),"")</f>
        <v>Natuur</v>
      </c>
      <c r="O34" s="12" t="str">
        <f>IFERROR(VLOOKUP(E34,categorieen!$D:$E,2,FALSE),"")</f>
        <v>West Brabant</v>
      </c>
      <c r="P34" s="12" t="str">
        <f>IFERROR(VLOOKUP(F34,categorieen!$D:$E,2,FALSE),"")</f>
        <v>Theater</v>
      </c>
      <c r="Q34" s="12" t="str">
        <f>IFERROR(VLOOKUP(G34,categorieen!$D:$E,2,FALSE),"")</f>
        <v>3x dezelfde letter</v>
      </c>
      <c r="R34" s="12" t="str">
        <f>IFERROR(VLOOKUP(H34,categorieen!$D:$E,2,FALSE),"")</f>
        <v>Met 4 Wieken</v>
      </c>
      <c r="S34" s="12" t="str">
        <f>IFERROR(VLOOKUP(I34,categorieen!$D:$E,2,FALSE),"")</f>
        <v>Getal/Cijfer</v>
      </c>
      <c r="T34" s="12" t="str">
        <f>IFERROR(VLOOKUP(J34,categorieen!$D:$E,2,FALSE),"")</f>
        <v/>
      </c>
    </row>
    <row r="35" spans="1:20" x14ac:dyDescent="0.25">
      <c r="A35" s="12" t="s">
        <v>73</v>
      </c>
      <c r="B35" s="13"/>
      <c r="C35" s="12">
        <v>33</v>
      </c>
      <c r="D35" s="12">
        <v>36</v>
      </c>
      <c r="E35" s="12">
        <v>8</v>
      </c>
      <c r="F35" s="12">
        <v>11</v>
      </c>
      <c r="G35" s="12">
        <v>9</v>
      </c>
      <c r="H35" s="12">
        <v>22</v>
      </c>
      <c r="I35" s="12">
        <v>26</v>
      </c>
      <c r="J35" s="12">
        <v>12</v>
      </c>
      <c r="K35" s="12">
        <v>16</v>
      </c>
      <c r="L35" s="12"/>
      <c r="M35" s="12" t="str">
        <f>IFERROR(VLOOKUP(C35,categorieen!$D:$E,2,FALSE),"")</f>
        <v>076 (Breda)</v>
      </c>
      <c r="N35" s="12" t="str">
        <f>IFERROR(VLOOKUP(D35,categorieen!$D:$E,2,FALSE),"")</f>
        <v>Plein</v>
      </c>
      <c r="O35" s="12" t="str">
        <f>IFERROR(VLOOKUP(E35,categorieen!$D:$E,2,FALSE),"")</f>
        <v>040 (Eindhoven)</v>
      </c>
      <c r="P35" s="12" t="str">
        <f>IFERROR(VLOOKUP(F35,categorieen!$D:$E,2,FALSE),"")</f>
        <v>Tilburg</v>
      </c>
      <c r="Q35" s="12" t="str">
        <f>IFERROR(VLOOKUP(G35,categorieen!$D:$E,2,FALSE),"")</f>
        <v>Kiosk</v>
      </c>
      <c r="R35" s="12" t="str">
        <f>IFERROR(VLOOKUP(H35,categorieen!$D:$E,2,FALSE),"")</f>
        <v>3x dezelfde letter</v>
      </c>
      <c r="S35" s="12" t="str">
        <f>IFERROR(VLOOKUP(I35,categorieen!$D:$E,2,FALSE),"")</f>
        <v>Eindigt op el</v>
      </c>
      <c r="T35" s="12" t="str">
        <f>IFERROR(VLOOKUP(J35,categorieen!$D:$E,2,FALSE),"")</f>
        <v>Water</v>
      </c>
    </row>
    <row r="36" spans="1:20" x14ac:dyDescent="0.25">
      <c r="A36" s="12" t="s">
        <v>76</v>
      </c>
      <c r="B36" s="13" t="s">
        <v>77</v>
      </c>
      <c r="C36" s="12">
        <v>2</v>
      </c>
      <c r="D36" s="12">
        <v>33</v>
      </c>
      <c r="E36" s="12">
        <v>26</v>
      </c>
      <c r="F36" s="12">
        <v>22</v>
      </c>
      <c r="G36" s="12">
        <v>20</v>
      </c>
      <c r="H36" s="12"/>
      <c r="I36" s="12"/>
      <c r="J36" s="12"/>
      <c r="K36" s="12"/>
      <c r="L36" s="12"/>
      <c r="M36" s="12" t="str">
        <f>IFERROR(VLOOKUP(C36,categorieen!$D:$E,2,FALSE),"")</f>
        <v>(stand)beeld / (Rijks)monument</v>
      </c>
      <c r="N36" s="12" t="str">
        <f>IFERROR(VLOOKUP(D36,categorieen!$D:$E,2,FALSE),"")</f>
        <v>076 (Breda)</v>
      </c>
      <c r="O36" s="12" t="str">
        <f>IFERROR(VLOOKUP(E36,categorieen!$D:$E,2,FALSE),"")</f>
        <v>Eindigt op el</v>
      </c>
      <c r="P36" s="12" t="str">
        <f>IFERROR(VLOOKUP(F36,categorieen!$D:$E,2,FALSE),"")</f>
        <v>3x dezelfde letter</v>
      </c>
      <c r="Q36" s="12" t="str">
        <f>IFERROR(VLOOKUP(G36,categorieen!$D:$E,2,FALSE),"")</f>
        <v>Festival</v>
      </c>
      <c r="R36" s="12" t="str">
        <f>IFERROR(VLOOKUP(H36,categorieen!$D:$E,2,FALSE),"")</f>
        <v/>
      </c>
      <c r="S36" s="12" t="str">
        <f>IFERROR(VLOOKUP(I36,categorieen!$D:$E,2,FALSE),"")</f>
        <v/>
      </c>
      <c r="T36" s="12" t="str">
        <f>IFERROR(VLOOKUP(J36,categorieen!$D:$E,2,FALSE),"")</f>
        <v/>
      </c>
    </row>
    <row r="37" spans="1:20" x14ac:dyDescent="0.25">
      <c r="A37" s="12" t="s">
        <v>78</v>
      </c>
      <c r="B37" s="13"/>
      <c r="C37" s="12">
        <v>22</v>
      </c>
      <c r="D37" s="12">
        <v>34</v>
      </c>
      <c r="E37" s="12">
        <v>2</v>
      </c>
      <c r="F37" s="12">
        <v>19</v>
      </c>
      <c r="G37" s="12"/>
      <c r="H37" s="12"/>
      <c r="I37" s="12"/>
      <c r="J37" s="12"/>
      <c r="K37" s="12"/>
      <c r="L37" s="12"/>
      <c r="M37" s="12" t="str">
        <f>IFERROR(VLOOKUP(C37,categorieen!$D:$E,2,FALSE),"")</f>
        <v>3x dezelfde letter</v>
      </c>
      <c r="N37" s="12" t="str">
        <f>IFERROR(VLOOKUP(D37,categorieen!$D:$E,2,FALSE),"")</f>
        <v>Met 4 Wieken</v>
      </c>
      <c r="O37" s="12" t="str">
        <f>IFERROR(VLOOKUP(E37,categorieen!$D:$E,2,FALSE),"")</f>
        <v>(stand)beeld / (Rijks)monument</v>
      </c>
      <c r="P37" s="12" t="str">
        <f>IFERROR(VLOOKUP(F37,categorieen!$D:$E,2,FALSE),"")</f>
        <v>Natuur</v>
      </c>
      <c r="Q37" s="12" t="str">
        <f>IFERROR(VLOOKUP(G37,categorieen!$D:$E,2,FALSE),"")</f>
        <v/>
      </c>
      <c r="R37" s="12" t="str">
        <f>IFERROR(VLOOKUP(H37,categorieen!$D:$E,2,FALSE),"")</f>
        <v/>
      </c>
      <c r="S37" s="12" t="str">
        <f>IFERROR(VLOOKUP(I37,categorieen!$D:$E,2,FALSE),"")</f>
        <v/>
      </c>
      <c r="T37" s="12" t="str">
        <f>IFERROR(VLOOKUP(J37,categorieen!$D:$E,2,FALSE),"")</f>
        <v/>
      </c>
    </row>
    <row r="38" spans="1:20" x14ac:dyDescent="0.25">
      <c r="A38" s="12" t="s">
        <v>79</v>
      </c>
      <c r="B38" s="13"/>
      <c r="C38" s="12">
        <v>4</v>
      </c>
      <c r="D38" s="12">
        <v>5</v>
      </c>
      <c r="E38" s="12">
        <v>30</v>
      </c>
      <c r="F38" s="12">
        <v>2</v>
      </c>
      <c r="G38" s="12">
        <v>7</v>
      </c>
      <c r="H38" s="12"/>
      <c r="I38" s="12"/>
      <c r="J38" s="12"/>
      <c r="K38" s="12"/>
      <c r="L38" s="12"/>
      <c r="M38" s="12" t="str">
        <f>IFERROR(VLOOKUP(C38,categorieen!$D:$E,2,FALSE),"")</f>
        <v>Zes letters</v>
      </c>
      <c r="N38" s="12" t="str">
        <f>IFERROR(VLOOKUP(D38,categorieen!$D:$E,2,FALSE),"")</f>
        <v>Bekende Brabanders</v>
      </c>
      <c r="O38" s="12" t="str">
        <f>IFERROR(VLOOKUP(E38,categorieen!$D:$E,2,FALSE),"")</f>
        <v>In de volksmond (IDV)</v>
      </c>
      <c r="P38" s="12" t="str">
        <f>IFERROR(VLOOKUP(F38,categorieen!$D:$E,2,FALSE),"")</f>
        <v>(stand)beeld / (Rijks)monument</v>
      </c>
      <c r="Q38" s="12" t="str">
        <f>IFERROR(VLOOKUP(G38,categorieen!$D:$E,2,FALSE),"")</f>
        <v>Alaaf</v>
      </c>
      <c r="R38" s="12" t="str">
        <f>IFERROR(VLOOKUP(H38,categorieen!$D:$E,2,FALSE),"")</f>
        <v/>
      </c>
      <c r="S38" s="12" t="str">
        <f>IFERROR(VLOOKUP(I38,categorieen!$D:$E,2,FALSE),"")</f>
        <v/>
      </c>
      <c r="T38" s="12" t="str">
        <f>IFERROR(VLOOKUP(J38,categorieen!$D:$E,2,FALSE),"")</f>
        <v/>
      </c>
    </row>
    <row r="39" spans="1:20" x14ac:dyDescent="0.25">
      <c r="A39" s="12" t="s">
        <v>80</v>
      </c>
      <c r="B39" s="13" t="s">
        <v>36</v>
      </c>
      <c r="C39" s="12">
        <v>39</v>
      </c>
      <c r="D39" s="12">
        <v>22</v>
      </c>
      <c r="E39" s="12">
        <v>34</v>
      </c>
      <c r="F39" s="12">
        <v>42</v>
      </c>
      <c r="G39" s="12">
        <v>16</v>
      </c>
      <c r="H39" s="12"/>
      <c r="I39" s="12"/>
      <c r="J39" s="12"/>
      <c r="K39" s="12"/>
      <c r="L39" s="12"/>
      <c r="M39" s="12" t="str">
        <f>IFERROR(VLOOKUP(C39,categorieen!$D:$E,2,FALSE),"")</f>
        <v>Theater</v>
      </c>
      <c r="N39" s="12" t="str">
        <f>IFERROR(VLOOKUP(D39,categorieen!$D:$E,2,FALSE),"")</f>
        <v>3x dezelfde letter</v>
      </c>
      <c r="O39" s="12" t="str">
        <f>IFERROR(VLOOKUP(E39,categorieen!$D:$E,2,FALSE),"")</f>
        <v>Met 4 Wieken</v>
      </c>
      <c r="P39" s="12" t="str">
        <f>IFERROR(VLOOKUP(F39,categorieen!$D:$E,2,FALSE),"")</f>
        <v>7 letters</v>
      </c>
      <c r="Q39" s="12" t="str">
        <f>IFERROR(VLOOKUP(G39,categorieen!$D:$E,2,FALSE),"")</f>
        <v>Buurtschap</v>
      </c>
      <c r="R39" s="12" t="str">
        <f>IFERROR(VLOOKUP(H39,categorieen!$D:$E,2,FALSE),"")</f>
        <v/>
      </c>
      <c r="S39" s="12" t="str">
        <f>IFERROR(VLOOKUP(I39,categorieen!$D:$E,2,FALSE),"")</f>
        <v/>
      </c>
      <c r="T39" s="12" t="str">
        <f>IFERROR(VLOOKUP(J39,categorieen!$D:$E,2,FALSE),"")</f>
        <v/>
      </c>
    </row>
    <row r="40" spans="1:20" x14ac:dyDescent="0.25">
      <c r="A40" s="17" t="s">
        <v>179</v>
      </c>
      <c r="B40" s="19" t="s">
        <v>180</v>
      </c>
      <c r="C40" s="11">
        <v>4</v>
      </c>
      <c r="D40" s="11">
        <v>9</v>
      </c>
      <c r="E40" s="12"/>
      <c r="F40" s="12"/>
      <c r="G40" s="12"/>
      <c r="H40" s="12"/>
      <c r="I40" s="12"/>
      <c r="J40" s="12"/>
      <c r="K40" s="12"/>
      <c r="L40" s="12"/>
      <c r="M40" s="12" t="str">
        <f>IFERROR(VLOOKUP(C40,categorieen!$D:$E,2,FALSE),"")</f>
        <v>Zes letters</v>
      </c>
      <c r="N40" s="12" t="str">
        <f>IFERROR(VLOOKUP(D40,categorieen!$D:$E,2,FALSE),"")</f>
        <v>Kiosk</v>
      </c>
      <c r="O40" s="12" t="str">
        <f>IFERROR(VLOOKUP(E40,categorieen!$D:$E,2,FALSE),"")</f>
        <v/>
      </c>
      <c r="P40" s="12" t="str">
        <f>IFERROR(VLOOKUP(F40,categorieen!$D:$E,2,FALSE),"")</f>
        <v/>
      </c>
      <c r="Q40" s="12" t="str">
        <f>IFERROR(VLOOKUP(G40,categorieen!$D:$E,2,FALSE),"")</f>
        <v/>
      </c>
      <c r="R40" s="12" t="str">
        <f>IFERROR(VLOOKUP(H40,categorieen!$D:$E,2,FALSE),"")</f>
        <v/>
      </c>
      <c r="S40" s="12" t="str">
        <f>IFERROR(VLOOKUP(I40,categorieen!$D:$E,2,FALSE),"")</f>
        <v/>
      </c>
      <c r="T40" s="12" t="str">
        <f>IFERROR(VLOOKUP(J40,categorieen!$D:$E,2,FALSE),"")</f>
        <v/>
      </c>
    </row>
    <row r="41" spans="1:20" x14ac:dyDescent="0.25">
      <c r="A41" s="12" t="s">
        <v>81</v>
      </c>
      <c r="B41" s="13"/>
      <c r="C41" s="12">
        <v>33</v>
      </c>
      <c r="D41" s="12">
        <v>21</v>
      </c>
      <c r="E41" s="12">
        <v>19</v>
      </c>
      <c r="F41" s="12">
        <v>40</v>
      </c>
      <c r="G41" s="12">
        <v>31</v>
      </c>
      <c r="H41" s="12"/>
      <c r="I41" s="12"/>
      <c r="J41" s="12"/>
      <c r="K41" s="12"/>
      <c r="L41" s="12"/>
      <c r="M41" s="12" t="str">
        <f>IFERROR(VLOOKUP(C41,categorieen!$D:$E,2,FALSE),"")</f>
        <v>076 (Breda)</v>
      </c>
      <c r="N41" s="12" t="str">
        <f>IFERROR(VLOOKUP(D41,categorieen!$D:$E,2,FALSE),"")</f>
        <v>West Brabant</v>
      </c>
      <c r="O41" s="12" t="str">
        <f>IFERROR(VLOOKUP(E41,categorieen!$D:$E,2,FALSE),"")</f>
        <v>Natuur</v>
      </c>
      <c r="P41" s="12" t="str">
        <f>IFERROR(VLOOKUP(F41,categorieen!$D:$E,2,FALSE),"")</f>
        <v>Typisch Brabants (TB)</v>
      </c>
      <c r="Q41" s="12" t="str">
        <f>IFERROR(VLOOKUP(G41,categorieen!$D:$E,2,FALSE),"")</f>
        <v>Kleurrijk</v>
      </c>
      <c r="R41" s="12" t="str">
        <f>IFERROR(VLOOKUP(H41,categorieen!$D:$E,2,FALSE),"")</f>
        <v/>
      </c>
      <c r="S41" s="12" t="str">
        <f>IFERROR(VLOOKUP(I41,categorieen!$D:$E,2,FALSE),"")</f>
        <v/>
      </c>
      <c r="T41" s="12" t="str">
        <f>IFERROR(VLOOKUP(J41,categorieen!$D:$E,2,FALSE),"")</f>
        <v/>
      </c>
    </row>
    <row r="42" spans="1:20" x14ac:dyDescent="0.25">
      <c r="A42" s="12" t="s">
        <v>82</v>
      </c>
      <c r="B42" s="13"/>
      <c r="C42" s="12">
        <v>16</v>
      </c>
      <c r="D42" s="12">
        <v>34</v>
      </c>
      <c r="E42" s="12">
        <v>21</v>
      </c>
      <c r="F42" s="12">
        <v>43</v>
      </c>
      <c r="G42" s="12">
        <v>27</v>
      </c>
      <c r="H42" s="12"/>
      <c r="I42" s="12"/>
      <c r="J42" s="12"/>
      <c r="K42" s="12"/>
      <c r="L42" s="12"/>
      <c r="M42" s="12" t="str">
        <f>IFERROR(VLOOKUP(C42,categorieen!$D:$E,2,FALSE),"")</f>
        <v>Buurtschap</v>
      </c>
      <c r="N42" s="12" t="str">
        <f>IFERROR(VLOOKUP(D42,categorieen!$D:$E,2,FALSE),"")</f>
        <v>Met 4 Wieken</v>
      </c>
      <c r="O42" s="12" t="str">
        <f>IFERROR(VLOOKUP(E42,categorieen!$D:$E,2,FALSE),"")</f>
        <v>West Brabant</v>
      </c>
      <c r="P42" s="12" t="str">
        <f>IFERROR(VLOOKUP(F42,categorieen!$D:$E,2,FALSE),"")</f>
        <v>Dierlijk</v>
      </c>
      <c r="Q42" s="12" t="str">
        <f>IFERROR(VLOOKUP(G42,categorieen!$D:$E,2,FALSE),"")</f>
        <v>Eten en Drinken (ED)</v>
      </c>
      <c r="R42" s="12" t="str">
        <f>IFERROR(VLOOKUP(H42,categorieen!$D:$E,2,FALSE),"")</f>
        <v/>
      </c>
      <c r="S42" s="12" t="str">
        <f>IFERROR(VLOOKUP(I42,categorieen!$D:$E,2,FALSE),"")</f>
        <v/>
      </c>
      <c r="T42" s="12" t="str">
        <f>IFERROR(VLOOKUP(J42,categorieen!$D:$E,2,FALSE),"")</f>
        <v/>
      </c>
    </row>
    <row r="43" spans="1:20" x14ac:dyDescent="0.25">
      <c r="A43" s="12" t="s">
        <v>83</v>
      </c>
      <c r="B43" s="13"/>
      <c r="C43" s="12">
        <v>15</v>
      </c>
      <c r="D43" s="12">
        <v>34</v>
      </c>
      <c r="E43" s="12">
        <v>21</v>
      </c>
      <c r="F43" s="12">
        <v>2</v>
      </c>
      <c r="G43" s="12"/>
      <c r="H43" s="12"/>
      <c r="I43" s="12"/>
      <c r="J43" s="12"/>
      <c r="K43" s="12"/>
      <c r="L43" s="12"/>
      <c r="M43" s="12" t="str">
        <f>IFERROR(VLOOKUP(C43,categorieen!$D:$E,2,FALSE),"")</f>
        <v>Getal/Cijfer</v>
      </c>
      <c r="N43" s="12" t="str">
        <f>IFERROR(VLOOKUP(D43,categorieen!$D:$E,2,FALSE),"")</f>
        <v>Met 4 Wieken</v>
      </c>
      <c r="O43" s="12" t="str">
        <f>IFERROR(VLOOKUP(E43,categorieen!$D:$E,2,FALSE),"")</f>
        <v>West Brabant</v>
      </c>
      <c r="P43" s="12" t="str">
        <f>IFERROR(VLOOKUP(F43,categorieen!$D:$E,2,FALSE),"")</f>
        <v>(stand)beeld / (Rijks)monument</v>
      </c>
      <c r="Q43" s="12" t="str">
        <f>IFERROR(VLOOKUP(G43,categorieen!$D:$E,2,FALSE),"")</f>
        <v/>
      </c>
      <c r="R43" s="12" t="str">
        <f>IFERROR(VLOOKUP(H43,categorieen!$D:$E,2,FALSE),"")</f>
        <v/>
      </c>
      <c r="S43" s="12" t="str">
        <f>IFERROR(VLOOKUP(I43,categorieen!$D:$E,2,FALSE),"")</f>
        <v/>
      </c>
      <c r="T43" s="12" t="str">
        <f>IFERROR(VLOOKUP(J43,categorieen!$D:$E,2,FALSE),"")</f>
        <v/>
      </c>
    </row>
    <row r="44" spans="1:20" x14ac:dyDescent="0.25">
      <c r="A44" s="12" t="s">
        <v>84</v>
      </c>
      <c r="B44" s="13" t="s">
        <v>85</v>
      </c>
      <c r="C44" s="12">
        <v>7</v>
      </c>
      <c r="D44" s="12">
        <v>37</v>
      </c>
      <c r="E44" s="12">
        <v>15</v>
      </c>
      <c r="F44" s="12">
        <v>5</v>
      </c>
      <c r="G44" s="12">
        <v>31</v>
      </c>
      <c r="H44" s="12"/>
      <c r="I44" s="12"/>
      <c r="J44" s="12"/>
      <c r="K44" s="12"/>
      <c r="L44" s="12"/>
      <c r="M44" s="12" t="str">
        <f>IFERROR(VLOOKUP(C44,categorieen!$D:$E,2,FALSE),"")</f>
        <v>Alaaf</v>
      </c>
      <c r="N44" s="12" t="str">
        <f>IFERROR(VLOOKUP(D44,categorieen!$D:$E,2,FALSE),"")</f>
        <v>s Hertogenbosch (DB)</v>
      </c>
      <c r="O44" s="12" t="str">
        <f>IFERROR(VLOOKUP(E44,categorieen!$D:$E,2,FALSE),"")</f>
        <v>Getal/Cijfer</v>
      </c>
      <c r="P44" s="12" t="str">
        <f>IFERROR(VLOOKUP(F44,categorieen!$D:$E,2,FALSE),"")</f>
        <v>Bekende Brabanders</v>
      </c>
      <c r="Q44" s="12" t="str">
        <f>IFERROR(VLOOKUP(G44,categorieen!$D:$E,2,FALSE),"")</f>
        <v>Kleurrijk</v>
      </c>
      <c r="R44" s="12" t="str">
        <f>IFERROR(VLOOKUP(H44,categorieen!$D:$E,2,FALSE),"")</f>
        <v/>
      </c>
      <c r="S44" s="12" t="str">
        <f>IFERROR(VLOOKUP(I44,categorieen!$D:$E,2,FALSE),"")</f>
        <v/>
      </c>
      <c r="T44" s="12" t="str">
        <f>IFERROR(VLOOKUP(J44,categorieen!$D:$E,2,FALSE),"")</f>
        <v/>
      </c>
    </row>
    <row r="45" spans="1:20" x14ac:dyDescent="0.25">
      <c r="A45" s="12" t="s">
        <v>86</v>
      </c>
      <c r="B45" s="13"/>
      <c r="C45" s="12">
        <v>29</v>
      </c>
      <c r="D45" s="12">
        <v>36</v>
      </c>
      <c r="E45" s="12">
        <v>9</v>
      </c>
      <c r="F45" s="12">
        <v>7</v>
      </c>
      <c r="G45" s="12"/>
      <c r="H45" s="12"/>
      <c r="I45" s="12"/>
      <c r="J45" s="12"/>
      <c r="K45" s="12"/>
      <c r="L45" s="12"/>
      <c r="M45" s="12" t="str">
        <f>IFERROR(VLOOKUP(C45,categorieen!$D:$E,2,FALSE),"")</f>
        <v>Hilvarenbeek</v>
      </c>
      <c r="N45" s="12" t="str">
        <f>IFERROR(VLOOKUP(D45,categorieen!$D:$E,2,FALSE),"")</f>
        <v>Plein</v>
      </c>
      <c r="O45" s="12" t="str">
        <f>IFERROR(VLOOKUP(E45,categorieen!$D:$E,2,FALSE),"")</f>
        <v>Kiosk</v>
      </c>
      <c r="P45" s="12" t="str">
        <f>IFERROR(VLOOKUP(F45,categorieen!$D:$E,2,FALSE),"")</f>
        <v>Alaaf</v>
      </c>
      <c r="Q45" s="12" t="str">
        <f>IFERROR(VLOOKUP(G45,categorieen!$D:$E,2,FALSE),"")</f>
        <v/>
      </c>
      <c r="R45" s="12" t="str">
        <f>IFERROR(VLOOKUP(H45,categorieen!$D:$E,2,FALSE),"")</f>
        <v/>
      </c>
      <c r="S45" s="12" t="str">
        <f>IFERROR(VLOOKUP(I45,categorieen!$D:$E,2,FALSE),"")</f>
        <v/>
      </c>
      <c r="T45" s="12" t="str">
        <f>IFERROR(VLOOKUP(J45,categorieen!$D:$E,2,FALSE),"")</f>
        <v/>
      </c>
    </row>
    <row r="46" spans="1:20" x14ac:dyDescent="0.25">
      <c r="A46" s="12" t="s">
        <v>87</v>
      </c>
      <c r="B46" s="13"/>
      <c r="C46" s="12">
        <v>7</v>
      </c>
      <c r="D46" s="12">
        <v>35</v>
      </c>
      <c r="E46" s="12">
        <v>22</v>
      </c>
      <c r="F46" s="12">
        <v>13</v>
      </c>
      <c r="G46" s="12">
        <v>34</v>
      </c>
      <c r="H46" s="12"/>
      <c r="I46" s="12"/>
      <c r="J46" s="12"/>
      <c r="K46" s="12"/>
      <c r="L46" s="12"/>
      <c r="M46" s="12" t="str">
        <f>IFERROR(VLOOKUP(C46,categorieen!$D:$E,2,FALSE),"")</f>
        <v>Alaaf</v>
      </c>
      <c r="N46" s="12" t="str">
        <f>IFERROR(VLOOKUP(D46,categorieen!$D:$E,2,FALSE),"")</f>
        <v>Parel in het Groen (PITG)</v>
      </c>
      <c r="O46" s="12" t="str">
        <f>IFERROR(VLOOKUP(E46,categorieen!$D:$E,2,FALSE),"")</f>
        <v>3x dezelfde letter</v>
      </c>
      <c r="P46" s="12" t="str">
        <f>IFERROR(VLOOKUP(F46,categorieen!$D:$E,2,FALSE),"")</f>
        <v>Met dubbel T</v>
      </c>
      <c r="Q46" s="12" t="str">
        <f>IFERROR(VLOOKUP(G46,categorieen!$D:$E,2,FALSE),"")</f>
        <v>Met 4 Wieken</v>
      </c>
      <c r="R46" s="12" t="str">
        <f>IFERROR(VLOOKUP(H46,categorieen!$D:$E,2,FALSE),"")</f>
        <v/>
      </c>
      <c r="S46" s="12" t="str">
        <f>IFERROR(VLOOKUP(I46,categorieen!$D:$E,2,FALSE),"")</f>
        <v/>
      </c>
      <c r="T46" s="12" t="str">
        <f>IFERROR(VLOOKUP(J46,categorieen!$D:$E,2,FALSE),"")</f>
        <v/>
      </c>
    </row>
    <row r="47" spans="1:20" x14ac:dyDescent="0.25">
      <c r="A47" s="12" t="s">
        <v>88</v>
      </c>
      <c r="B47" s="13"/>
      <c r="C47" s="12">
        <v>15</v>
      </c>
      <c r="D47" s="12">
        <v>27</v>
      </c>
      <c r="E47" s="12">
        <v>2</v>
      </c>
      <c r="F47" s="12">
        <v>34</v>
      </c>
      <c r="G47" s="12">
        <v>42</v>
      </c>
      <c r="H47" s="12"/>
      <c r="I47" s="12"/>
      <c r="J47" s="12"/>
      <c r="K47" s="12"/>
      <c r="L47" s="12"/>
      <c r="M47" s="12" t="str">
        <f>IFERROR(VLOOKUP(C47,categorieen!$D:$E,2,FALSE),"")</f>
        <v>Getal/Cijfer</v>
      </c>
      <c r="N47" s="12" t="str">
        <f>IFERROR(VLOOKUP(D47,categorieen!$D:$E,2,FALSE),"")</f>
        <v>Eten en Drinken (ED)</v>
      </c>
      <c r="O47" s="12" t="str">
        <f>IFERROR(VLOOKUP(E47,categorieen!$D:$E,2,FALSE),"")</f>
        <v>(stand)beeld / (Rijks)monument</v>
      </c>
      <c r="P47" s="12" t="str">
        <f>IFERROR(VLOOKUP(F47,categorieen!$D:$E,2,FALSE),"")</f>
        <v>Met 4 Wieken</v>
      </c>
      <c r="Q47" s="12" t="str">
        <f>IFERROR(VLOOKUP(G47,categorieen!$D:$E,2,FALSE),"")</f>
        <v>7 letters</v>
      </c>
      <c r="R47" s="12" t="str">
        <f>IFERROR(VLOOKUP(H47,categorieen!$D:$E,2,FALSE),"")</f>
        <v/>
      </c>
      <c r="S47" s="12" t="str">
        <f>IFERROR(VLOOKUP(I47,categorieen!$D:$E,2,FALSE),"")</f>
        <v/>
      </c>
      <c r="T47" s="12" t="str">
        <f>IFERROR(VLOOKUP(J47,categorieen!$D:$E,2,FALSE),"")</f>
        <v/>
      </c>
    </row>
    <row r="48" spans="1:20" x14ac:dyDescent="0.25">
      <c r="A48" s="11" t="s">
        <v>89</v>
      </c>
      <c r="B48" s="13"/>
      <c r="C48" s="12">
        <v>29</v>
      </c>
      <c r="D48" s="12">
        <v>42</v>
      </c>
      <c r="E48" s="12">
        <v>17</v>
      </c>
      <c r="F48" s="12">
        <v>32</v>
      </c>
      <c r="G48" s="12">
        <v>18</v>
      </c>
      <c r="H48" s="12"/>
      <c r="I48" s="12"/>
      <c r="J48" s="12"/>
      <c r="K48" s="12"/>
      <c r="L48" s="12"/>
      <c r="M48" s="12" t="str">
        <f>IFERROR(VLOOKUP(C48,categorieen!$D:$E,2,FALSE),"")</f>
        <v>Hilvarenbeek</v>
      </c>
      <c r="N48" s="12" t="str">
        <f>IFERROR(VLOOKUP(D48,categorieen!$D:$E,2,FALSE),"")</f>
        <v>7 letters</v>
      </c>
      <c r="O48" s="12" t="str">
        <f>IFERROR(VLOOKUP(E48,categorieen!$D:$E,2,FALSE),"")</f>
        <v>Met dubbel s</v>
      </c>
      <c r="P48" s="12" t="str">
        <f>IFERROR(VLOOKUP(F48,categorieen!$D:$E,2,FALSE),"")</f>
        <v>Met ie</v>
      </c>
      <c r="Q48" s="12" t="str">
        <f>IFERROR(VLOOKUP(G48,categorieen!$D:$E,2,FALSE),"")</f>
        <v>Willem II</v>
      </c>
      <c r="R48" s="12" t="str">
        <f>IFERROR(VLOOKUP(H48,categorieen!$D:$E,2,FALSE),"")</f>
        <v/>
      </c>
      <c r="S48" s="12" t="str">
        <f>IFERROR(VLOOKUP(I48,categorieen!$D:$E,2,FALSE),"")</f>
        <v/>
      </c>
      <c r="T48" s="12" t="str">
        <f>IFERROR(VLOOKUP(J48,categorieen!$D:$E,2,FALSE),"")</f>
        <v/>
      </c>
    </row>
    <row r="49" spans="1:20" x14ac:dyDescent="0.25">
      <c r="A49" s="17" t="s">
        <v>178</v>
      </c>
      <c r="B49" s="13" t="s">
        <v>231</v>
      </c>
      <c r="C49" s="12">
        <v>5</v>
      </c>
      <c r="D49" s="12">
        <v>38</v>
      </c>
      <c r="E49" s="12">
        <v>28</v>
      </c>
      <c r="F49" s="12">
        <v>42</v>
      </c>
      <c r="G49" s="12">
        <v>31</v>
      </c>
      <c r="H49" s="12"/>
      <c r="I49" s="12"/>
      <c r="J49" s="12"/>
      <c r="K49" s="12"/>
      <c r="L49" s="12"/>
      <c r="M49" s="12" t="str">
        <f>IFERROR(VLOOKUP(C49,categorieen!$D:$E,2,FALSE),"")</f>
        <v>Bekende Brabanders</v>
      </c>
      <c r="N49" s="12" t="str">
        <f>IFERROR(VLOOKUP(D49,categorieen!$D:$E,2,FALSE),"")</f>
        <v>Sport</v>
      </c>
      <c r="O49" s="12" t="str">
        <f>IFERROR(VLOOKUP(E49,categorieen!$D:$E,2,FALSE),"")</f>
        <v>Heilige</v>
      </c>
      <c r="P49" s="12" t="str">
        <f>IFERROR(VLOOKUP(F49,categorieen!$D:$E,2,FALSE),"")</f>
        <v>7 letters</v>
      </c>
      <c r="Q49" s="12" t="str">
        <f>IFERROR(VLOOKUP(G49,categorieen!$D:$E,2,FALSE),"")</f>
        <v>Kleurrijk</v>
      </c>
      <c r="R49" s="12" t="str">
        <f>IFERROR(VLOOKUP(H49,categorieen!$D:$E,2,FALSE),"")</f>
        <v/>
      </c>
      <c r="S49" s="12" t="str">
        <f>IFERROR(VLOOKUP(I49,categorieen!$D:$E,2,FALSE),"")</f>
        <v/>
      </c>
      <c r="T49" s="12" t="str">
        <f>IFERROR(VLOOKUP(J49,categorieen!$D:$E,2,FALSE),"")</f>
        <v/>
      </c>
    </row>
    <row r="50" spans="1:20" x14ac:dyDescent="0.25">
      <c r="A50" s="12" t="s">
        <v>210</v>
      </c>
      <c r="B50" s="13" t="s">
        <v>90</v>
      </c>
      <c r="C50" s="12">
        <v>37</v>
      </c>
      <c r="D50" s="12">
        <v>2</v>
      </c>
      <c r="E50" s="12">
        <v>43</v>
      </c>
      <c r="F50" s="12">
        <v>22</v>
      </c>
      <c r="G50" s="12">
        <v>12</v>
      </c>
      <c r="H50" s="12"/>
      <c r="I50" s="12"/>
      <c r="J50" s="12"/>
      <c r="K50" s="12"/>
      <c r="L50" s="12"/>
      <c r="M50" s="12" t="str">
        <f>IFERROR(VLOOKUP(C50,categorieen!$D:$E,2,FALSE),"")</f>
        <v>s Hertogenbosch (DB)</v>
      </c>
      <c r="N50" s="12" t="str">
        <f>IFERROR(VLOOKUP(D50,categorieen!$D:$E,2,FALSE),"")</f>
        <v>(stand)beeld / (Rijks)monument</v>
      </c>
      <c r="O50" s="12" t="str">
        <f>IFERROR(VLOOKUP(E50,categorieen!$D:$E,2,FALSE),"")</f>
        <v>Dierlijk</v>
      </c>
      <c r="P50" s="12" t="str">
        <f>IFERROR(VLOOKUP(F50,categorieen!$D:$E,2,FALSE),"")</f>
        <v>3x dezelfde letter</v>
      </c>
      <c r="Q50" s="12" t="str">
        <f>IFERROR(VLOOKUP(G50,categorieen!$D:$E,2,FALSE),"")</f>
        <v>Water</v>
      </c>
      <c r="R50" s="12" t="str">
        <f>IFERROR(VLOOKUP(H50,categorieen!$D:$E,2,FALSE),"")</f>
        <v/>
      </c>
      <c r="S50" s="12" t="str">
        <f>IFERROR(VLOOKUP(I50,categorieen!$D:$E,2,FALSE),"")</f>
        <v/>
      </c>
      <c r="T50" s="12" t="str">
        <f>IFERROR(VLOOKUP(J50,categorieen!$D:$E,2,FALSE),"")</f>
        <v/>
      </c>
    </row>
    <row r="51" spans="1:20" x14ac:dyDescent="0.25">
      <c r="A51" s="12" t="s">
        <v>92</v>
      </c>
      <c r="B51" s="13"/>
      <c r="C51" s="12">
        <v>25</v>
      </c>
      <c r="D51" s="12">
        <v>26</v>
      </c>
      <c r="E51" s="12">
        <v>4</v>
      </c>
      <c r="F51" s="12">
        <v>9</v>
      </c>
      <c r="G51" s="12"/>
      <c r="H51" s="12"/>
      <c r="I51" s="12"/>
      <c r="J51" s="12"/>
      <c r="K51" s="12"/>
      <c r="L51" s="12"/>
      <c r="M51" s="12" t="str">
        <f>IFERROR(VLOOKUP(C51,categorieen!$D:$E,2,FALSE),"")</f>
        <v>1 van de 8</v>
      </c>
      <c r="N51" s="12" t="str">
        <f>IFERROR(VLOOKUP(D51,categorieen!$D:$E,2,FALSE),"")</f>
        <v>Eindigt op el</v>
      </c>
      <c r="O51" s="12" t="str">
        <f>IFERROR(VLOOKUP(E51,categorieen!$D:$E,2,FALSE),"")</f>
        <v>Zes letters</v>
      </c>
      <c r="P51" s="12" t="str">
        <f>IFERROR(VLOOKUP(F51,categorieen!$D:$E,2,FALSE),"")</f>
        <v>Kiosk</v>
      </c>
      <c r="Q51" s="12" t="str">
        <f>IFERROR(VLOOKUP(G51,categorieen!$D:$E,2,FALSE),"")</f>
        <v/>
      </c>
      <c r="R51" s="12" t="str">
        <f>IFERROR(VLOOKUP(H51,categorieen!$D:$E,2,FALSE),"")</f>
        <v/>
      </c>
      <c r="S51" s="12" t="str">
        <f>IFERROR(VLOOKUP(I51,categorieen!$D:$E,2,FALSE),"")</f>
        <v/>
      </c>
      <c r="T51" s="12" t="str">
        <f>IFERROR(VLOOKUP(J51,categorieen!$D:$E,2,FALSE),"")</f>
        <v/>
      </c>
    </row>
    <row r="52" spans="1:20" x14ac:dyDescent="0.25">
      <c r="A52" s="12" t="s">
        <v>93</v>
      </c>
      <c r="B52" s="13"/>
      <c r="C52" s="12">
        <v>25</v>
      </c>
      <c r="D52" s="12">
        <v>4</v>
      </c>
      <c r="E52" s="12">
        <v>22</v>
      </c>
      <c r="F52" s="12">
        <v>26</v>
      </c>
      <c r="G52" s="12">
        <v>9</v>
      </c>
      <c r="H52" s="12"/>
      <c r="I52" s="12"/>
      <c r="J52" s="12"/>
      <c r="K52" s="12"/>
      <c r="L52" s="12"/>
      <c r="M52" s="12" t="str">
        <f>IFERROR(VLOOKUP(C52,categorieen!$D:$E,2,FALSE),"")</f>
        <v>1 van de 8</v>
      </c>
      <c r="N52" s="12" t="str">
        <f>IFERROR(VLOOKUP(D52,categorieen!$D:$E,2,FALSE),"")</f>
        <v>Zes letters</v>
      </c>
      <c r="O52" s="12" t="str">
        <f>IFERROR(VLOOKUP(E52,categorieen!$D:$E,2,FALSE),"")</f>
        <v>3x dezelfde letter</v>
      </c>
      <c r="P52" s="12" t="str">
        <f>IFERROR(VLOOKUP(F52,categorieen!$D:$E,2,FALSE),"")</f>
        <v>Eindigt op el</v>
      </c>
      <c r="Q52" s="12" t="str">
        <f>IFERROR(VLOOKUP(G52,categorieen!$D:$E,2,FALSE),"")</f>
        <v>Kiosk</v>
      </c>
      <c r="R52" s="12" t="str">
        <f>IFERROR(VLOOKUP(H52,categorieen!$D:$E,2,FALSE),"")</f>
        <v/>
      </c>
      <c r="S52" s="12" t="str">
        <f>IFERROR(VLOOKUP(I52,categorieen!$D:$E,2,FALSE),"")</f>
        <v/>
      </c>
      <c r="T52" s="12" t="str">
        <f>IFERROR(VLOOKUP(J52,categorieen!$D:$E,2,FALSE),"")</f>
        <v/>
      </c>
    </row>
    <row r="53" spans="1:20" x14ac:dyDescent="0.25">
      <c r="A53" s="12" t="s">
        <v>94</v>
      </c>
      <c r="B53" s="13"/>
      <c r="C53" s="12">
        <v>29</v>
      </c>
      <c r="D53" s="12">
        <v>32</v>
      </c>
      <c r="E53" s="12">
        <v>20</v>
      </c>
      <c r="F53" s="12">
        <v>31</v>
      </c>
      <c r="G53" s="12">
        <v>27</v>
      </c>
      <c r="H53" s="12">
        <v>40</v>
      </c>
      <c r="I53" s="12">
        <v>36</v>
      </c>
      <c r="J53" s="12"/>
      <c r="K53" s="12"/>
      <c r="L53" s="12"/>
      <c r="M53" s="12" t="str">
        <f>IFERROR(VLOOKUP(C53,categorieen!$D:$E,2,FALSE),"")</f>
        <v>Hilvarenbeek</v>
      </c>
      <c r="N53" s="12" t="str">
        <f>IFERROR(VLOOKUP(D53,categorieen!$D:$E,2,FALSE),"")</f>
        <v>Met ie</v>
      </c>
      <c r="O53" s="12" t="str">
        <f>IFERROR(VLOOKUP(E53,categorieen!$D:$E,2,FALSE),"")</f>
        <v>Festival</v>
      </c>
      <c r="P53" s="12" t="str">
        <f>IFERROR(VLOOKUP(F53,categorieen!$D:$E,2,FALSE),"")</f>
        <v>Kleurrijk</v>
      </c>
      <c r="Q53" s="12" t="str">
        <f>IFERROR(VLOOKUP(G53,categorieen!$D:$E,2,FALSE),"")</f>
        <v>Eten en Drinken (ED)</v>
      </c>
      <c r="R53" s="12" t="str">
        <f>IFERROR(VLOOKUP(H53,categorieen!$D:$E,2,FALSE),"")</f>
        <v>Typisch Brabants (TB)</v>
      </c>
      <c r="S53" s="12" t="str">
        <f>IFERROR(VLOOKUP(I53,categorieen!$D:$E,2,FALSE),"")</f>
        <v>Plein</v>
      </c>
      <c r="T53" s="12" t="str">
        <f>IFERROR(VLOOKUP(J53,categorieen!$D:$E,2,FALSE),"")</f>
        <v/>
      </c>
    </row>
    <row r="54" spans="1:20" x14ac:dyDescent="0.25">
      <c r="A54" s="12" t="s">
        <v>95</v>
      </c>
      <c r="B54" s="13"/>
      <c r="C54" s="12">
        <v>8</v>
      </c>
      <c r="D54" s="12">
        <v>42</v>
      </c>
      <c r="E54" s="12">
        <v>2</v>
      </c>
      <c r="F54" s="12"/>
      <c r="G54" s="12"/>
      <c r="H54" s="12"/>
      <c r="I54" s="12"/>
      <c r="J54" s="12"/>
      <c r="K54" s="12"/>
      <c r="L54" s="12"/>
      <c r="M54" s="12" t="str">
        <f>IFERROR(VLOOKUP(C54,categorieen!$D:$E,2,FALSE),"")</f>
        <v>040 (Eindhoven)</v>
      </c>
      <c r="N54" s="12" t="str">
        <f>IFERROR(VLOOKUP(D54,categorieen!$D:$E,2,FALSE),"")</f>
        <v>7 letters</v>
      </c>
      <c r="O54" s="12" t="str">
        <f>IFERROR(VLOOKUP(E54,categorieen!$D:$E,2,FALSE),"")</f>
        <v>(stand)beeld / (Rijks)monument</v>
      </c>
      <c r="P54" s="12" t="str">
        <f>IFERROR(VLOOKUP(F54,categorieen!$D:$E,2,FALSE),"")</f>
        <v/>
      </c>
      <c r="Q54" s="12" t="str">
        <f>IFERROR(VLOOKUP(G54,categorieen!$D:$E,2,FALSE),"")</f>
        <v/>
      </c>
      <c r="R54" s="12" t="str">
        <f>IFERROR(VLOOKUP(H54,categorieen!$D:$E,2,FALSE),"")</f>
        <v/>
      </c>
      <c r="S54" s="12" t="str">
        <f>IFERROR(VLOOKUP(I54,categorieen!$D:$E,2,FALSE),"")</f>
        <v/>
      </c>
      <c r="T54" s="12" t="str">
        <f>IFERROR(VLOOKUP(J54,categorieen!$D:$E,2,FALSE),"")</f>
        <v/>
      </c>
    </row>
    <row r="55" spans="1:20" x14ac:dyDescent="0.25">
      <c r="A55" s="12" t="s">
        <v>96</v>
      </c>
      <c r="B55" s="13" t="s">
        <v>97</v>
      </c>
      <c r="C55" s="12">
        <v>5</v>
      </c>
      <c r="D55" s="12">
        <v>8</v>
      </c>
      <c r="E55" s="12">
        <v>17</v>
      </c>
      <c r="F55" s="12">
        <v>22</v>
      </c>
      <c r="G55" s="12"/>
      <c r="H55" s="12"/>
      <c r="I55" s="12"/>
      <c r="J55" s="12"/>
      <c r="K55" s="12"/>
      <c r="L55" s="12"/>
      <c r="M55" s="12" t="str">
        <f>IFERROR(VLOOKUP(C55,categorieen!$D:$E,2,FALSE),"")</f>
        <v>Bekende Brabanders</v>
      </c>
      <c r="N55" s="12" t="str">
        <f>IFERROR(VLOOKUP(D55,categorieen!$D:$E,2,FALSE),"")</f>
        <v>040 (Eindhoven)</v>
      </c>
      <c r="O55" s="12" t="str">
        <f>IFERROR(VLOOKUP(E55,categorieen!$D:$E,2,FALSE),"")</f>
        <v>Met dubbel s</v>
      </c>
      <c r="P55" s="12" t="str">
        <f>IFERROR(VLOOKUP(F55,categorieen!$D:$E,2,FALSE),"")</f>
        <v>3x dezelfde letter</v>
      </c>
      <c r="Q55" s="12" t="str">
        <f>IFERROR(VLOOKUP(G55,categorieen!$D:$E,2,FALSE),"")</f>
        <v/>
      </c>
      <c r="R55" s="12" t="str">
        <f>IFERROR(VLOOKUP(H55,categorieen!$D:$E,2,FALSE),"")</f>
        <v/>
      </c>
      <c r="S55" s="12" t="str">
        <f>IFERROR(VLOOKUP(I55,categorieen!$D:$E,2,FALSE),"")</f>
        <v/>
      </c>
      <c r="T55" s="12" t="str">
        <f>IFERROR(VLOOKUP(J55,categorieen!$D:$E,2,FALSE),"")</f>
        <v/>
      </c>
    </row>
    <row r="56" spans="1:20" x14ac:dyDescent="0.25">
      <c r="A56" s="17" t="s">
        <v>188</v>
      </c>
      <c r="B56" s="13"/>
      <c r="C56" s="11">
        <v>2</v>
      </c>
      <c r="D56" s="11">
        <v>22</v>
      </c>
      <c r="E56" s="12"/>
      <c r="F56" s="12"/>
      <c r="G56" s="12"/>
      <c r="H56" s="12"/>
      <c r="I56" s="12"/>
      <c r="J56" s="12"/>
      <c r="K56" s="12"/>
      <c r="L56" s="12"/>
      <c r="M56" s="12" t="str">
        <f>IFERROR(VLOOKUP(C56,categorieen!$D:$E,2,FALSE),"")</f>
        <v>(stand)beeld / (Rijks)monument</v>
      </c>
      <c r="N56" s="12" t="str">
        <f>IFERROR(VLOOKUP(D56,categorieen!$D:$E,2,FALSE),"")</f>
        <v>3x dezelfde letter</v>
      </c>
      <c r="O56" s="12" t="str">
        <f>IFERROR(VLOOKUP(E56,categorieen!$D:$E,2,FALSE),"")</f>
        <v/>
      </c>
      <c r="P56" s="12" t="str">
        <f>IFERROR(VLOOKUP(F56,categorieen!$D:$E,2,FALSE),"")</f>
        <v/>
      </c>
      <c r="Q56" s="12" t="str">
        <f>IFERROR(VLOOKUP(G56,categorieen!$D:$E,2,FALSE),"")</f>
        <v/>
      </c>
      <c r="R56" s="12" t="str">
        <f>IFERROR(VLOOKUP(H56,categorieen!$D:$E,2,FALSE),"")</f>
        <v/>
      </c>
      <c r="S56" s="12" t="str">
        <f>IFERROR(VLOOKUP(I56,categorieen!$D:$E,2,FALSE),"")</f>
        <v/>
      </c>
      <c r="T56" s="12" t="str">
        <f>IFERROR(VLOOKUP(J56,categorieen!$D:$E,2,FALSE),"")</f>
        <v/>
      </c>
    </row>
    <row r="57" spans="1:20" x14ac:dyDescent="0.25">
      <c r="A57" s="12" t="s">
        <v>98</v>
      </c>
      <c r="B57" s="13"/>
      <c r="C57" s="12">
        <v>20</v>
      </c>
      <c r="D57" s="12">
        <v>8</v>
      </c>
      <c r="E57" s="12">
        <v>31</v>
      </c>
      <c r="F57" s="12">
        <v>24</v>
      </c>
      <c r="G57" s="12"/>
      <c r="H57" s="12"/>
      <c r="I57" s="12"/>
      <c r="J57" s="12"/>
      <c r="K57" s="12"/>
      <c r="L57" s="12"/>
      <c r="M57" s="12" t="str">
        <f>IFERROR(VLOOKUP(C57,categorieen!$D:$E,2,FALSE),"")</f>
        <v>Festival</v>
      </c>
      <c r="N57" s="12" t="str">
        <f>IFERROR(VLOOKUP(D57,categorieen!$D:$E,2,FALSE),"")</f>
        <v>040 (Eindhoven)</v>
      </c>
      <c r="O57" s="12" t="str">
        <f>IFERROR(VLOOKUP(E57,categorieen!$D:$E,2,FALSE),"")</f>
        <v>Kleurrijk</v>
      </c>
      <c r="P57" s="12" t="str">
        <f>IFERROR(VLOOKUP(F57,categorieen!$D:$E,2,FALSE),"")</f>
        <v>3 of 4 letters</v>
      </c>
      <c r="Q57" s="12" t="str">
        <f>IFERROR(VLOOKUP(G57,categorieen!$D:$E,2,FALSE),"")</f>
        <v/>
      </c>
      <c r="R57" s="12" t="str">
        <f>IFERROR(VLOOKUP(H57,categorieen!$D:$E,2,FALSE),"")</f>
        <v/>
      </c>
      <c r="S57" s="12" t="str">
        <f>IFERROR(VLOOKUP(I57,categorieen!$D:$E,2,FALSE),"")</f>
        <v/>
      </c>
      <c r="T57" s="12" t="str">
        <f>IFERROR(VLOOKUP(J57,categorieen!$D:$E,2,FALSE),"")</f>
        <v/>
      </c>
    </row>
    <row r="58" spans="1:20" x14ac:dyDescent="0.25">
      <c r="A58" s="11" t="s">
        <v>99</v>
      </c>
      <c r="B58" s="13"/>
      <c r="C58" s="12">
        <v>22</v>
      </c>
      <c r="D58" s="12">
        <v>19</v>
      </c>
      <c r="E58" s="12">
        <v>29</v>
      </c>
      <c r="F58" s="12">
        <v>30</v>
      </c>
      <c r="G58" s="12">
        <v>14</v>
      </c>
      <c r="H58" s="12"/>
      <c r="I58" s="12"/>
      <c r="J58" s="12"/>
      <c r="K58" s="12"/>
      <c r="L58" s="12"/>
      <c r="M58" s="12" t="str">
        <f>IFERROR(VLOOKUP(C58,categorieen!$D:$E,2,FALSE),"")</f>
        <v>3x dezelfde letter</v>
      </c>
      <c r="N58" s="12" t="str">
        <f>IFERROR(VLOOKUP(D58,categorieen!$D:$E,2,FALSE),"")</f>
        <v>Natuur</v>
      </c>
      <c r="O58" s="12" t="str">
        <f>IFERROR(VLOOKUP(E58,categorieen!$D:$E,2,FALSE),"")</f>
        <v>Hilvarenbeek</v>
      </c>
      <c r="P58" s="12" t="str">
        <f>IFERROR(VLOOKUP(F58,categorieen!$D:$E,2,FALSE),"")</f>
        <v>In de volksmond (IDV)</v>
      </c>
      <c r="Q58" s="12" t="str">
        <f>IFERROR(VLOOKUP(G58,categorieen!$D:$E,2,FALSE),"")</f>
        <v>Kasteel</v>
      </c>
      <c r="R58" s="12" t="str">
        <f>IFERROR(VLOOKUP(H58,categorieen!$D:$E,2,FALSE),"")</f>
        <v/>
      </c>
      <c r="S58" s="12" t="str">
        <f>IFERROR(VLOOKUP(I58,categorieen!$D:$E,2,FALSE),"")</f>
        <v/>
      </c>
      <c r="T58" s="12" t="str">
        <f>IFERROR(VLOOKUP(J58,categorieen!$D:$E,2,FALSE),"")</f>
        <v/>
      </c>
    </row>
    <row r="59" spans="1:20" x14ac:dyDescent="0.25">
      <c r="A59" s="12" t="s">
        <v>100</v>
      </c>
      <c r="B59" s="13"/>
      <c r="C59" s="12">
        <v>37</v>
      </c>
      <c r="D59" s="12">
        <v>15</v>
      </c>
      <c r="E59" s="12">
        <v>30</v>
      </c>
      <c r="F59" s="12">
        <v>40</v>
      </c>
      <c r="G59" s="12">
        <v>20</v>
      </c>
      <c r="H59" s="12">
        <v>19</v>
      </c>
      <c r="I59" s="12"/>
      <c r="J59" s="12"/>
      <c r="K59" s="12"/>
      <c r="L59" s="12"/>
      <c r="M59" s="12" t="str">
        <f>IFERROR(VLOOKUP(C59,categorieen!$D:$E,2,FALSE),"")</f>
        <v>s Hertogenbosch (DB)</v>
      </c>
      <c r="N59" s="12" t="str">
        <f>IFERROR(VLOOKUP(D59,categorieen!$D:$E,2,FALSE),"")</f>
        <v>Getal/Cijfer</v>
      </c>
      <c r="O59" s="12" t="str">
        <f>IFERROR(VLOOKUP(E59,categorieen!$D:$E,2,FALSE),"")</f>
        <v>In de volksmond (IDV)</v>
      </c>
      <c r="P59" s="12" t="str">
        <f>IFERROR(VLOOKUP(F59,categorieen!$D:$E,2,FALSE),"")</f>
        <v>Typisch Brabants (TB)</v>
      </c>
      <c r="Q59" s="12" t="str">
        <f>IFERROR(VLOOKUP(G59,categorieen!$D:$E,2,FALSE),"")</f>
        <v>Festival</v>
      </c>
      <c r="R59" s="12" t="str">
        <f>IFERROR(VLOOKUP(H59,categorieen!$D:$E,2,FALSE),"")</f>
        <v>Natuur</v>
      </c>
      <c r="S59" s="12" t="str">
        <f>IFERROR(VLOOKUP(I59,categorieen!$D:$E,2,FALSE),"")</f>
        <v/>
      </c>
      <c r="T59" s="12" t="str">
        <f>IFERROR(VLOOKUP(J59,categorieen!$D:$E,2,FALSE),"")</f>
        <v/>
      </c>
    </row>
    <row r="60" spans="1:20" x14ac:dyDescent="0.25">
      <c r="A60" s="12" t="s">
        <v>101</v>
      </c>
      <c r="B60" s="13"/>
      <c r="C60" s="12">
        <v>14</v>
      </c>
      <c r="D60" s="12">
        <v>19</v>
      </c>
      <c r="E60" s="12">
        <v>9</v>
      </c>
      <c r="F60" s="12">
        <v>16</v>
      </c>
      <c r="G60" s="12">
        <v>2</v>
      </c>
      <c r="H60" s="12">
        <v>27</v>
      </c>
      <c r="I60" s="12"/>
      <c r="J60" s="12"/>
      <c r="K60" s="12"/>
      <c r="L60" s="12"/>
      <c r="M60" s="12" t="str">
        <f>IFERROR(VLOOKUP(C60,categorieen!$D:$E,2,FALSE),"")</f>
        <v>Kasteel</v>
      </c>
      <c r="N60" s="12" t="str">
        <f>IFERROR(VLOOKUP(D60,categorieen!$D:$E,2,FALSE),"")</f>
        <v>Natuur</v>
      </c>
      <c r="O60" s="12" t="str">
        <f>IFERROR(VLOOKUP(E60,categorieen!$D:$E,2,FALSE),"")</f>
        <v>Kiosk</v>
      </c>
      <c r="P60" s="12" t="str">
        <f>IFERROR(VLOOKUP(F60,categorieen!$D:$E,2,FALSE),"")</f>
        <v>Buurtschap</v>
      </c>
      <c r="Q60" s="12" t="str">
        <f>IFERROR(VLOOKUP(G60,categorieen!$D:$E,2,FALSE),"")</f>
        <v>(stand)beeld / (Rijks)monument</v>
      </c>
      <c r="R60" s="12" t="str">
        <f>IFERROR(VLOOKUP(H60,categorieen!$D:$E,2,FALSE),"")</f>
        <v>Eten en Drinken (ED)</v>
      </c>
      <c r="S60" s="12" t="str">
        <f>IFERROR(VLOOKUP(I60,categorieen!$D:$E,2,FALSE),"")</f>
        <v/>
      </c>
      <c r="T60" s="12" t="str">
        <f>IFERROR(VLOOKUP(J60,categorieen!$D:$E,2,FALSE),"")</f>
        <v/>
      </c>
    </row>
    <row r="61" spans="1:20" x14ac:dyDescent="0.25">
      <c r="A61" s="12" t="s">
        <v>102</v>
      </c>
      <c r="B61" s="13"/>
      <c r="C61" s="12">
        <v>21</v>
      </c>
      <c r="D61" s="12">
        <v>34</v>
      </c>
      <c r="E61" s="12">
        <v>16</v>
      </c>
      <c r="F61" s="12"/>
      <c r="G61" s="12"/>
      <c r="H61" s="12"/>
      <c r="I61" s="12"/>
      <c r="J61" s="12"/>
      <c r="K61" s="12"/>
      <c r="L61" s="12"/>
      <c r="M61" s="12" t="str">
        <f>IFERROR(VLOOKUP(C61,categorieen!$D:$E,2,FALSE),"")</f>
        <v>West Brabant</v>
      </c>
      <c r="N61" s="12" t="str">
        <f>IFERROR(VLOOKUP(D61,categorieen!$D:$E,2,FALSE),"")</f>
        <v>Met 4 Wieken</v>
      </c>
      <c r="O61" s="12" t="str">
        <f>IFERROR(VLOOKUP(E61,categorieen!$D:$E,2,FALSE),"")</f>
        <v>Buurtschap</v>
      </c>
      <c r="P61" s="12" t="str">
        <f>IFERROR(VLOOKUP(F61,categorieen!$D:$E,2,FALSE),"")</f>
        <v/>
      </c>
      <c r="Q61" s="12" t="str">
        <f>IFERROR(VLOOKUP(G61,categorieen!$D:$E,2,FALSE),"")</f>
        <v/>
      </c>
      <c r="R61" s="12" t="str">
        <f>IFERROR(VLOOKUP(H61,categorieen!$D:$E,2,FALSE),"")</f>
        <v/>
      </c>
      <c r="S61" s="12" t="str">
        <f>IFERROR(VLOOKUP(I61,categorieen!$D:$E,2,FALSE),"")</f>
        <v/>
      </c>
      <c r="T61" s="12" t="str">
        <f>IFERROR(VLOOKUP(J61,categorieen!$D:$E,2,FALSE),"")</f>
        <v/>
      </c>
    </row>
    <row r="62" spans="1:20" x14ac:dyDescent="0.25">
      <c r="A62" s="12" t="s">
        <v>103</v>
      </c>
      <c r="B62" s="13"/>
      <c r="C62" s="12">
        <v>42</v>
      </c>
      <c r="D62" s="12">
        <v>14</v>
      </c>
      <c r="E62" s="12">
        <v>2</v>
      </c>
      <c r="F62" s="12">
        <v>38</v>
      </c>
      <c r="G62" s="12"/>
      <c r="H62" s="12"/>
      <c r="I62" s="12"/>
      <c r="J62" s="12"/>
      <c r="K62" s="12"/>
      <c r="L62" s="12"/>
      <c r="M62" s="12" t="str">
        <f>IFERROR(VLOOKUP(C62,categorieen!$D:$E,2,FALSE),"")</f>
        <v>7 letters</v>
      </c>
      <c r="N62" s="12" t="str">
        <f>IFERROR(VLOOKUP(D62,categorieen!$D:$E,2,FALSE),"")</f>
        <v>Kasteel</v>
      </c>
      <c r="O62" s="12" t="str">
        <f>IFERROR(VLOOKUP(E62,categorieen!$D:$E,2,FALSE),"")</f>
        <v>(stand)beeld / (Rijks)monument</v>
      </c>
      <c r="P62" s="12" t="str">
        <f>IFERROR(VLOOKUP(F62,categorieen!$D:$E,2,FALSE),"")</f>
        <v>Sport</v>
      </c>
      <c r="Q62" s="12" t="str">
        <f>IFERROR(VLOOKUP(G62,categorieen!$D:$E,2,FALSE),"")</f>
        <v/>
      </c>
      <c r="R62" s="12" t="str">
        <f>IFERROR(VLOOKUP(H62,categorieen!$D:$E,2,FALSE),"")</f>
        <v/>
      </c>
      <c r="S62" s="12" t="str">
        <f>IFERROR(VLOOKUP(I62,categorieen!$D:$E,2,FALSE),"")</f>
        <v/>
      </c>
      <c r="T62" s="12" t="str">
        <f>IFERROR(VLOOKUP(J62,categorieen!$D:$E,2,FALSE),"")</f>
        <v/>
      </c>
    </row>
    <row r="63" spans="1:20" x14ac:dyDescent="0.25">
      <c r="A63" s="12" t="s">
        <v>104</v>
      </c>
      <c r="B63" s="13"/>
      <c r="C63" s="12">
        <v>40</v>
      </c>
      <c r="D63" s="12">
        <v>30</v>
      </c>
      <c r="E63" s="12">
        <v>4</v>
      </c>
      <c r="F63" s="12"/>
      <c r="G63" s="12"/>
      <c r="H63" s="12"/>
      <c r="I63" s="12"/>
      <c r="J63" s="12"/>
      <c r="K63" s="12"/>
      <c r="L63" s="12"/>
      <c r="M63" s="12" t="str">
        <f>IFERROR(VLOOKUP(C63,categorieen!$D:$E,2,FALSE),"")</f>
        <v>Typisch Brabants (TB)</v>
      </c>
      <c r="N63" s="12" t="str">
        <f>IFERROR(VLOOKUP(D63,categorieen!$D:$E,2,FALSE),"")</f>
        <v>In de volksmond (IDV)</v>
      </c>
      <c r="O63" s="12" t="str">
        <f>IFERROR(VLOOKUP(E63,categorieen!$D:$E,2,FALSE),"")</f>
        <v>Zes letters</v>
      </c>
      <c r="P63" s="12" t="str">
        <f>IFERROR(VLOOKUP(F63,categorieen!$D:$E,2,FALSE),"")</f>
        <v/>
      </c>
      <c r="Q63" s="12" t="str">
        <f>IFERROR(VLOOKUP(G63,categorieen!$D:$E,2,FALSE),"")</f>
        <v/>
      </c>
      <c r="R63" s="12" t="str">
        <f>IFERROR(VLOOKUP(H63,categorieen!$D:$E,2,FALSE),"")</f>
        <v/>
      </c>
      <c r="S63" s="12" t="str">
        <f>IFERROR(VLOOKUP(I63,categorieen!$D:$E,2,FALSE),"")</f>
        <v/>
      </c>
      <c r="T63" s="12" t="str">
        <f>IFERROR(VLOOKUP(J63,categorieen!$D:$E,2,FALSE),"")</f>
        <v/>
      </c>
    </row>
    <row r="64" spans="1:20" x14ac:dyDescent="0.25">
      <c r="A64" s="17" t="s">
        <v>181</v>
      </c>
      <c r="B64" s="13"/>
      <c r="C64" s="11">
        <v>4</v>
      </c>
      <c r="D64" s="12">
        <v>25</v>
      </c>
      <c r="E64" s="12">
        <v>26</v>
      </c>
      <c r="F64" s="12"/>
      <c r="G64" s="12"/>
      <c r="H64" s="12"/>
      <c r="I64" s="12"/>
      <c r="J64" s="12"/>
      <c r="K64" s="12"/>
      <c r="L64" s="12"/>
      <c r="M64" s="12" t="str">
        <f>IFERROR(VLOOKUP(C64,categorieen!$D:$E,2,FALSE),"")</f>
        <v>Zes letters</v>
      </c>
      <c r="N64" s="12" t="str">
        <f>IFERROR(VLOOKUP(D64,categorieen!$D:$E,2,FALSE),"")</f>
        <v>1 van de 8</v>
      </c>
      <c r="O64" s="12" t="str">
        <f>IFERROR(VLOOKUP(E64,categorieen!$D:$E,2,FALSE),"")</f>
        <v>Eindigt op el</v>
      </c>
      <c r="P64" s="12" t="str">
        <f>IFERROR(VLOOKUP(F64,categorieen!$D:$E,2,FALSE),"")</f>
        <v/>
      </c>
      <c r="Q64" s="12" t="str">
        <f>IFERROR(VLOOKUP(G64,categorieen!$D:$E,2,FALSE),"")</f>
        <v/>
      </c>
      <c r="R64" s="12" t="str">
        <f>IFERROR(VLOOKUP(H64,categorieen!$D:$E,2,FALSE),"")</f>
        <v/>
      </c>
      <c r="S64" s="12" t="str">
        <f>IFERROR(VLOOKUP(I64,categorieen!$D:$E,2,FALSE),"")</f>
        <v/>
      </c>
      <c r="T64" s="12" t="str">
        <f>IFERROR(VLOOKUP(J64,categorieen!$D:$E,2,FALSE),"")</f>
        <v/>
      </c>
    </row>
    <row r="65" spans="1:20" x14ac:dyDescent="0.25">
      <c r="A65" s="12" t="s">
        <v>105</v>
      </c>
      <c r="B65" s="13" t="s">
        <v>106</v>
      </c>
      <c r="C65" s="12">
        <v>38</v>
      </c>
      <c r="D65" s="12">
        <v>13</v>
      </c>
      <c r="E65" s="12">
        <v>8</v>
      </c>
      <c r="F65" s="12"/>
      <c r="G65" s="12"/>
      <c r="H65" s="12"/>
      <c r="I65" s="12"/>
      <c r="J65" s="12"/>
      <c r="K65" s="12"/>
      <c r="L65" s="12"/>
      <c r="M65" s="12" t="str">
        <f>IFERROR(VLOOKUP(C65,categorieen!$D:$E,2,FALSE),"")</f>
        <v>Sport</v>
      </c>
      <c r="N65" s="12" t="str">
        <f>IFERROR(VLOOKUP(D65,categorieen!$D:$E,2,FALSE),"")</f>
        <v>Met dubbel T</v>
      </c>
      <c r="O65" s="12" t="str">
        <f>IFERROR(VLOOKUP(E65,categorieen!$D:$E,2,FALSE),"")</f>
        <v>040 (Eindhoven)</v>
      </c>
      <c r="P65" s="12" t="str">
        <f>IFERROR(VLOOKUP(F65,categorieen!$D:$E,2,FALSE),"")</f>
        <v/>
      </c>
      <c r="Q65" s="12" t="str">
        <f>IFERROR(VLOOKUP(G65,categorieen!$D:$E,2,FALSE),"")</f>
        <v/>
      </c>
      <c r="R65" s="12" t="str">
        <f>IFERROR(VLOOKUP(H65,categorieen!$D:$E,2,FALSE),"")</f>
        <v/>
      </c>
      <c r="S65" s="12" t="str">
        <f>IFERROR(VLOOKUP(I65,categorieen!$D:$E,2,FALSE),"")</f>
        <v/>
      </c>
      <c r="T65" s="12" t="str">
        <f>IFERROR(VLOOKUP(J65,categorieen!$D:$E,2,FALSE),"")</f>
        <v/>
      </c>
    </row>
    <row r="66" spans="1:20" x14ac:dyDescent="0.25">
      <c r="A66" s="12" t="s">
        <v>107</v>
      </c>
      <c r="B66" s="13"/>
      <c r="C66" s="12">
        <v>41</v>
      </c>
      <c r="D66" s="12">
        <v>8</v>
      </c>
      <c r="E66" s="12">
        <v>12</v>
      </c>
      <c r="F66" s="12">
        <v>19</v>
      </c>
      <c r="G66" s="12">
        <v>27</v>
      </c>
      <c r="H66" s="12"/>
      <c r="I66" s="12"/>
      <c r="J66" s="12"/>
      <c r="K66" s="12"/>
      <c r="L66" s="12"/>
      <c r="M66" s="12" t="str">
        <f>IFERROR(VLOOKUP(C66,categorieen!$D:$E,2,FALSE),"")</f>
        <v>Vught</v>
      </c>
      <c r="N66" s="12" t="str">
        <f>IFERROR(VLOOKUP(D66,categorieen!$D:$E,2,FALSE),"")</f>
        <v>040 (Eindhoven)</v>
      </c>
      <c r="O66" s="12" t="str">
        <f>IFERROR(VLOOKUP(E66,categorieen!$D:$E,2,FALSE),"")</f>
        <v>Water</v>
      </c>
      <c r="P66" s="12" t="str">
        <f>IFERROR(VLOOKUP(F66,categorieen!$D:$E,2,FALSE),"")</f>
        <v>Natuur</v>
      </c>
      <c r="Q66" s="12" t="str">
        <f>IFERROR(VLOOKUP(G66,categorieen!$D:$E,2,FALSE),"")</f>
        <v>Eten en Drinken (ED)</v>
      </c>
      <c r="R66" s="12" t="str">
        <f>IFERROR(VLOOKUP(H66,categorieen!$D:$E,2,FALSE),"")</f>
        <v/>
      </c>
      <c r="S66" s="12" t="str">
        <f>IFERROR(VLOOKUP(I66,categorieen!$D:$E,2,FALSE),"")</f>
        <v/>
      </c>
      <c r="T66" s="12" t="str">
        <f>IFERROR(VLOOKUP(J66,categorieen!$D:$E,2,FALSE),"")</f>
        <v/>
      </c>
    </row>
    <row r="67" spans="1:20" x14ac:dyDescent="0.25">
      <c r="A67" s="12" t="s">
        <v>108</v>
      </c>
      <c r="B67" s="13"/>
      <c r="C67" s="12">
        <v>20</v>
      </c>
      <c r="D67" s="12">
        <v>31</v>
      </c>
      <c r="E67" s="12">
        <v>35</v>
      </c>
      <c r="F67" s="12">
        <v>42</v>
      </c>
      <c r="G67" s="12"/>
      <c r="H67" s="12"/>
      <c r="I67" s="12"/>
      <c r="J67" s="12"/>
      <c r="K67" s="12"/>
      <c r="L67" s="12"/>
      <c r="M67" s="12" t="str">
        <f>IFERROR(VLOOKUP(C67,categorieen!$D:$E,2,FALSE),"")</f>
        <v>Festival</v>
      </c>
      <c r="N67" s="12" t="str">
        <f>IFERROR(VLOOKUP(D67,categorieen!$D:$E,2,FALSE),"")</f>
        <v>Kleurrijk</v>
      </c>
      <c r="O67" s="12" t="str">
        <f>IFERROR(VLOOKUP(E67,categorieen!$D:$E,2,FALSE),"")</f>
        <v>Parel in het Groen (PITG)</v>
      </c>
      <c r="P67" s="12" t="str">
        <f>IFERROR(VLOOKUP(F67,categorieen!$D:$E,2,FALSE),"")</f>
        <v>7 letters</v>
      </c>
      <c r="Q67" s="12" t="str">
        <f>IFERROR(VLOOKUP(G67,categorieen!$D:$E,2,FALSE),"")</f>
        <v/>
      </c>
      <c r="R67" s="12" t="str">
        <f>IFERROR(VLOOKUP(H67,categorieen!$D:$E,2,FALSE),"")</f>
        <v/>
      </c>
      <c r="S67" s="12" t="str">
        <f>IFERROR(VLOOKUP(I67,categorieen!$D:$E,2,FALSE),"")</f>
        <v/>
      </c>
      <c r="T67" s="12" t="str">
        <f>IFERROR(VLOOKUP(J67,categorieen!$D:$E,2,FALSE),"")</f>
        <v/>
      </c>
    </row>
    <row r="68" spans="1:20" x14ac:dyDescent="0.25">
      <c r="A68" s="12" t="s">
        <v>109</v>
      </c>
      <c r="B68" s="13" t="s">
        <v>205</v>
      </c>
      <c r="C68" s="12">
        <v>41</v>
      </c>
      <c r="D68" s="12">
        <v>27</v>
      </c>
      <c r="E68" s="12">
        <v>31</v>
      </c>
      <c r="F68" s="12"/>
      <c r="G68" s="12"/>
      <c r="H68" s="12"/>
      <c r="I68" s="12"/>
      <c r="J68" s="12"/>
      <c r="K68" s="12"/>
      <c r="L68" s="12"/>
      <c r="M68" s="12" t="str">
        <f>IFERROR(VLOOKUP(C68,categorieen!$D:$E,2,FALSE),"")</f>
        <v>Vught</v>
      </c>
      <c r="N68" s="12" t="str">
        <f>IFERROR(VLOOKUP(D68,categorieen!$D:$E,2,FALSE),"")</f>
        <v>Eten en Drinken (ED)</v>
      </c>
      <c r="O68" s="12" t="str">
        <f>IFERROR(VLOOKUP(E68,categorieen!$D:$E,2,FALSE),"")</f>
        <v>Kleurrijk</v>
      </c>
      <c r="P68" s="12" t="str">
        <f>IFERROR(VLOOKUP(F68,categorieen!$D:$E,2,FALSE),"")</f>
        <v/>
      </c>
      <c r="Q68" s="12" t="str">
        <f>IFERROR(VLOOKUP(G68,categorieen!$D:$E,2,FALSE),"")</f>
        <v/>
      </c>
      <c r="R68" s="12" t="str">
        <f>IFERROR(VLOOKUP(H68,categorieen!$D:$E,2,FALSE),"")</f>
        <v/>
      </c>
      <c r="S68" s="12" t="str">
        <f>IFERROR(VLOOKUP(I68,categorieen!$D:$E,2,FALSE),"")</f>
        <v/>
      </c>
      <c r="T68" s="12" t="str">
        <f>IFERROR(VLOOKUP(J68,categorieen!$D:$E,2,FALSE),"")</f>
        <v/>
      </c>
    </row>
    <row r="69" spans="1:20" ht="30" x14ac:dyDescent="0.25">
      <c r="A69" s="12" t="s">
        <v>110</v>
      </c>
      <c r="B69" s="13" t="s">
        <v>111</v>
      </c>
      <c r="C69" s="12">
        <v>38</v>
      </c>
      <c r="D69" s="12">
        <v>5</v>
      </c>
      <c r="E69" s="12">
        <v>18</v>
      </c>
      <c r="F69" s="12"/>
      <c r="G69" s="12"/>
      <c r="H69" s="12"/>
      <c r="I69" s="12"/>
      <c r="J69" s="12"/>
      <c r="K69" s="12"/>
      <c r="L69" s="12"/>
      <c r="M69" s="12" t="str">
        <f>IFERROR(VLOOKUP(C69,categorieen!$D:$E,2,FALSE),"")</f>
        <v>Sport</v>
      </c>
      <c r="N69" s="12" t="str">
        <f>IFERROR(VLOOKUP(D69,categorieen!$D:$E,2,FALSE),"")</f>
        <v>Bekende Brabanders</v>
      </c>
      <c r="O69" s="12" t="str">
        <f>IFERROR(VLOOKUP(E69,categorieen!$D:$E,2,FALSE),"")</f>
        <v>Willem II</v>
      </c>
      <c r="P69" s="12" t="str">
        <f>IFERROR(VLOOKUP(F69,categorieen!$D:$E,2,FALSE),"")</f>
        <v/>
      </c>
      <c r="Q69" s="12" t="str">
        <f>IFERROR(VLOOKUP(G69,categorieen!$D:$E,2,FALSE),"")</f>
        <v/>
      </c>
      <c r="R69" s="12" t="str">
        <f>IFERROR(VLOOKUP(H69,categorieen!$D:$E,2,FALSE),"")</f>
        <v/>
      </c>
      <c r="S69" s="12" t="str">
        <f>IFERROR(VLOOKUP(I69,categorieen!$D:$E,2,FALSE),"")</f>
        <v/>
      </c>
      <c r="T69" s="12" t="str">
        <f>IFERROR(VLOOKUP(J69,categorieen!$D:$E,2,FALSE),"")</f>
        <v/>
      </c>
    </row>
    <row r="70" spans="1:20" x14ac:dyDescent="0.25">
      <c r="A70" s="12" t="s">
        <v>112</v>
      </c>
      <c r="B70" s="12"/>
      <c r="C70" s="12">
        <v>35</v>
      </c>
      <c r="D70" s="12">
        <v>42</v>
      </c>
      <c r="E70" s="12">
        <v>19</v>
      </c>
      <c r="F70" s="12"/>
      <c r="G70" s="12"/>
      <c r="H70" s="12"/>
      <c r="I70" s="12"/>
      <c r="J70" s="12"/>
      <c r="K70" s="12"/>
      <c r="L70" s="12"/>
      <c r="M70" s="12" t="str">
        <f>IFERROR(VLOOKUP(C70,categorieen!$D:$E,2,FALSE),"")</f>
        <v>Parel in het Groen (PITG)</v>
      </c>
      <c r="N70" s="12" t="str">
        <f>IFERROR(VLOOKUP(D70,categorieen!$D:$E,2,FALSE),"")</f>
        <v>7 letters</v>
      </c>
      <c r="O70" s="12" t="str">
        <f>IFERROR(VLOOKUP(E70,categorieen!$D:$E,2,FALSE),"")</f>
        <v>Natuur</v>
      </c>
      <c r="P70" s="12" t="str">
        <f>IFERROR(VLOOKUP(F70,categorieen!$D:$E,2,FALSE),"")</f>
        <v/>
      </c>
      <c r="Q70" s="12" t="str">
        <f>IFERROR(VLOOKUP(G70,categorieen!$D:$E,2,FALSE),"")</f>
        <v/>
      </c>
      <c r="R70" s="12" t="str">
        <f>IFERROR(VLOOKUP(H70,categorieen!$D:$E,2,FALSE),"")</f>
        <v/>
      </c>
      <c r="S70" s="12" t="str">
        <f>IFERROR(VLOOKUP(I70,categorieen!$D:$E,2,FALSE),"")</f>
        <v/>
      </c>
      <c r="T70" s="12" t="str">
        <f>IFERROR(VLOOKUP(J70,categorieen!$D:$E,2,FALSE),"")</f>
        <v/>
      </c>
    </row>
    <row r="71" spans="1:20" x14ac:dyDescent="0.25">
      <c r="A71" s="12" t="s">
        <v>113</v>
      </c>
      <c r="B71" s="12"/>
      <c r="C71" s="12">
        <v>25</v>
      </c>
      <c r="D71" s="12">
        <v>42</v>
      </c>
      <c r="E71" s="12">
        <v>26</v>
      </c>
      <c r="F71" s="12"/>
      <c r="G71" s="12"/>
      <c r="H71" s="12"/>
      <c r="I71" s="12"/>
      <c r="J71" s="12"/>
      <c r="K71" s="12"/>
      <c r="L71" s="12"/>
      <c r="M71" s="12" t="str">
        <f>IFERROR(VLOOKUP(C71,categorieen!$D:$E,2,FALSE),"")</f>
        <v>1 van de 8</v>
      </c>
      <c r="N71" s="12" t="str">
        <f>IFERROR(VLOOKUP(D71,categorieen!$D:$E,2,FALSE),"")</f>
        <v>7 letters</v>
      </c>
      <c r="O71" s="12" t="str">
        <f>IFERROR(VLOOKUP(E71,categorieen!$D:$E,2,FALSE),"")</f>
        <v>Eindigt op el</v>
      </c>
      <c r="P71" s="12" t="str">
        <f>IFERROR(VLOOKUP(F71,categorieen!$D:$E,2,FALSE),"")</f>
        <v/>
      </c>
      <c r="Q71" s="12" t="str">
        <f>IFERROR(VLOOKUP(G71,categorieen!$D:$E,2,FALSE),"")</f>
        <v/>
      </c>
      <c r="R71" s="12" t="str">
        <f>IFERROR(VLOOKUP(H71,categorieen!$D:$E,2,FALSE),"")</f>
        <v/>
      </c>
      <c r="S71" s="12" t="str">
        <f>IFERROR(VLOOKUP(I71,categorieen!$D:$E,2,FALSE),"")</f>
        <v/>
      </c>
      <c r="T71" s="12" t="str">
        <f>IFERROR(VLOOKUP(J71,categorieen!$D:$E,2,FALSE),"")</f>
        <v/>
      </c>
    </row>
    <row r="72" spans="1:20" x14ac:dyDescent="0.25">
      <c r="A72" s="12" t="s">
        <v>114</v>
      </c>
      <c r="B72" s="12" t="s">
        <v>115</v>
      </c>
      <c r="C72" s="12">
        <v>7</v>
      </c>
      <c r="D72" s="12">
        <v>11</v>
      </c>
      <c r="E72" s="12">
        <v>22</v>
      </c>
      <c r="F72" s="12">
        <v>30</v>
      </c>
      <c r="G72" s="12">
        <v>2</v>
      </c>
      <c r="H72" s="12"/>
      <c r="I72" s="12"/>
      <c r="J72" s="12"/>
      <c r="K72" s="12"/>
      <c r="L72" s="12"/>
      <c r="M72" s="12" t="str">
        <f>IFERROR(VLOOKUP(C72,categorieen!$D:$E,2,FALSE),"")</f>
        <v>Alaaf</v>
      </c>
      <c r="N72" s="12" t="str">
        <f>IFERROR(VLOOKUP(D72,categorieen!$D:$E,2,FALSE),"")</f>
        <v>Tilburg</v>
      </c>
      <c r="O72" s="12" t="str">
        <f>IFERROR(VLOOKUP(E72,categorieen!$D:$E,2,FALSE),"")</f>
        <v>3x dezelfde letter</v>
      </c>
      <c r="P72" s="12" t="str">
        <f>IFERROR(VLOOKUP(F72,categorieen!$D:$E,2,FALSE),"")</f>
        <v>In de volksmond (IDV)</v>
      </c>
      <c r="Q72" s="12" t="str">
        <f>IFERROR(VLOOKUP(G72,categorieen!$D:$E,2,FALSE),"")</f>
        <v>(stand)beeld / (Rijks)monument</v>
      </c>
      <c r="R72" s="12" t="str">
        <f>IFERROR(VLOOKUP(H72,categorieen!$D:$E,2,FALSE),"")</f>
        <v/>
      </c>
      <c r="S72" s="12" t="str">
        <f>IFERROR(VLOOKUP(I72,categorieen!$D:$E,2,FALSE),"")</f>
        <v/>
      </c>
      <c r="T72" s="12" t="str">
        <f>IFERROR(VLOOKUP(J72,categorieen!$D:$E,2,FALSE),"")</f>
        <v/>
      </c>
    </row>
    <row r="73" spans="1:20" x14ac:dyDescent="0.25">
      <c r="A73" s="12" t="s">
        <v>116</v>
      </c>
      <c r="B73" s="12"/>
      <c r="C73" s="12">
        <v>24</v>
      </c>
      <c r="D73" s="12">
        <v>35</v>
      </c>
      <c r="E73" s="12">
        <v>43</v>
      </c>
      <c r="F73" s="12">
        <v>20</v>
      </c>
      <c r="G73" s="12">
        <v>2</v>
      </c>
      <c r="H73" s="12"/>
      <c r="I73" s="12"/>
      <c r="J73" s="12"/>
      <c r="K73" s="12"/>
      <c r="L73" s="12"/>
      <c r="M73" s="12" t="str">
        <f>IFERROR(VLOOKUP(C73,categorieen!$D:$E,2,FALSE),"")</f>
        <v>3 of 4 letters</v>
      </c>
      <c r="N73" s="12" t="str">
        <f>IFERROR(VLOOKUP(D73,categorieen!$D:$E,2,FALSE),"")</f>
        <v>Parel in het Groen (PITG)</v>
      </c>
      <c r="O73" s="12" t="str">
        <f>IFERROR(VLOOKUP(E73,categorieen!$D:$E,2,FALSE),"")</f>
        <v>Dierlijk</v>
      </c>
      <c r="P73" s="12" t="str">
        <f>IFERROR(VLOOKUP(F73,categorieen!$D:$E,2,FALSE),"")</f>
        <v>Festival</v>
      </c>
      <c r="Q73" s="12" t="str">
        <f>IFERROR(VLOOKUP(G73,categorieen!$D:$E,2,FALSE),"")</f>
        <v>(stand)beeld / (Rijks)monument</v>
      </c>
      <c r="R73" s="12" t="str">
        <f>IFERROR(VLOOKUP(H73,categorieen!$D:$E,2,FALSE),"")</f>
        <v/>
      </c>
      <c r="S73" s="12" t="str">
        <f>IFERROR(VLOOKUP(I73,categorieen!$D:$E,2,FALSE),"")</f>
        <v/>
      </c>
      <c r="T73" s="12" t="str">
        <f>IFERROR(VLOOKUP(J73,categorieen!$D:$E,2,FALSE),"")</f>
        <v/>
      </c>
    </row>
    <row r="74" spans="1:20" x14ac:dyDescent="0.25">
      <c r="A74" s="12" t="s">
        <v>117</v>
      </c>
      <c r="B74" s="12" t="s">
        <v>124</v>
      </c>
      <c r="C74" s="12">
        <v>7</v>
      </c>
      <c r="D74" s="12">
        <v>8</v>
      </c>
      <c r="E74" s="12">
        <v>40</v>
      </c>
      <c r="F74" s="12"/>
      <c r="G74" s="12"/>
      <c r="H74" s="12"/>
      <c r="I74" s="12"/>
      <c r="J74" s="12"/>
      <c r="K74" s="12"/>
      <c r="L74" s="12"/>
      <c r="M74" s="12" t="str">
        <f>IFERROR(VLOOKUP(C74,categorieen!$D:$E,2,FALSE),"")</f>
        <v>Alaaf</v>
      </c>
      <c r="N74" s="12" t="str">
        <f>IFERROR(VLOOKUP(D74,categorieen!$D:$E,2,FALSE),"")</f>
        <v>040 (Eindhoven)</v>
      </c>
      <c r="O74" s="12" t="str">
        <f>IFERROR(VLOOKUP(E74,categorieen!$D:$E,2,FALSE),"")</f>
        <v>Typisch Brabants (TB)</v>
      </c>
      <c r="P74" s="12" t="str">
        <f>IFERROR(VLOOKUP(F74,categorieen!$D:$E,2,FALSE),"")</f>
        <v/>
      </c>
      <c r="Q74" s="12" t="str">
        <f>IFERROR(VLOOKUP(G74,categorieen!$D:$E,2,FALSE),"")</f>
        <v/>
      </c>
      <c r="R74" s="12" t="str">
        <f>IFERROR(VLOOKUP(H74,categorieen!$D:$E,2,FALSE),"")</f>
        <v/>
      </c>
      <c r="S74" s="12" t="str">
        <f>IFERROR(VLOOKUP(I74,categorieen!$D:$E,2,FALSE),"")</f>
        <v/>
      </c>
      <c r="T74" s="12" t="str">
        <f>IFERROR(VLOOKUP(J74,categorieen!$D:$E,2,FALSE),"")</f>
        <v/>
      </c>
    </row>
    <row r="75" spans="1:20" x14ac:dyDescent="0.25">
      <c r="A75" s="12" t="s">
        <v>118</v>
      </c>
      <c r="B75" s="12"/>
      <c r="C75" s="12">
        <v>22</v>
      </c>
      <c r="D75" s="12">
        <v>27</v>
      </c>
      <c r="E75" s="12">
        <v>35</v>
      </c>
      <c r="F75" s="12">
        <v>32</v>
      </c>
      <c r="G75" s="12">
        <v>36</v>
      </c>
      <c r="H75" s="12"/>
      <c r="I75" s="12"/>
      <c r="J75" s="12"/>
      <c r="K75" s="12"/>
      <c r="L75" s="12"/>
      <c r="M75" s="12" t="str">
        <f>IFERROR(VLOOKUP(C75,categorieen!$D:$E,2,FALSE),"")</f>
        <v>3x dezelfde letter</v>
      </c>
      <c r="N75" s="12" t="str">
        <f>IFERROR(VLOOKUP(D75,categorieen!$D:$E,2,FALSE),"")</f>
        <v>Eten en Drinken (ED)</v>
      </c>
      <c r="O75" s="12" t="str">
        <f>IFERROR(VLOOKUP(E75,categorieen!$D:$E,2,FALSE),"")</f>
        <v>Parel in het Groen (PITG)</v>
      </c>
      <c r="P75" s="12" t="str">
        <f>IFERROR(VLOOKUP(F75,categorieen!$D:$E,2,FALSE),"")</f>
        <v>Met ie</v>
      </c>
      <c r="Q75" s="12" t="str">
        <f>IFERROR(VLOOKUP(G75,categorieen!$D:$E,2,FALSE),"")</f>
        <v>Plein</v>
      </c>
      <c r="R75" s="12" t="str">
        <f>IFERROR(VLOOKUP(H75,categorieen!$D:$E,2,FALSE),"")</f>
        <v/>
      </c>
      <c r="S75" s="12" t="str">
        <f>IFERROR(VLOOKUP(I75,categorieen!$D:$E,2,FALSE),"")</f>
        <v/>
      </c>
      <c r="T75" s="12" t="str">
        <f>IFERROR(VLOOKUP(J75,categorieen!$D:$E,2,FALSE),"")</f>
        <v/>
      </c>
    </row>
    <row r="76" spans="1:20" x14ac:dyDescent="0.25">
      <c r="A76" s="12" t="s">
        <v>119</v>
      </c>
      <c r="B76" s="12"/>
      <c r="C76" s="12">
        <v>24</v>
      </c>
      <c r="D76" s="12">
        <v>33</v>
      </c>
      <c r="E76" s="12">
        <v>32</v>
      </c>
      <c r="F76" s="12">
        <v>16</v>
      </c>
      <c r="G76" s="12">
        <v>21</v>
      </c>
      <c r="H76" s="12"/>
      <c r="I76" s="12"/>
      <c r="J76" s="12"/>
      <c r="K76" s="12"/>
      <c r="L76" s="12"/>
      <c r="M76" s="12" t="str">
        <f>IFERROR(VLOOKUP(C76,categorieen!$D:$E,2,FALSE),"")</f>
        <v>3 of 4 letters</v>
      </c>
      <c r="N76" s="12" t="str">
        <f>IFERROR(VLOOKUP(D76,categorieen!$D:$E,2,FALSE),"")</f>
        <v>076 (Breda)</v>
      </c>
      <c r="O76" s="12" t="str">
        <f>IFERROR(VLOOKUP(E76,categorieen!$D:$E,2,FALSE),"")</f>
        <v>Met ie</v>
      </c>
      <c r="P76" s="12" t="str">
        <f>IFERROR(VLOOKUP(F76,categorieen!$D:$E,2,FALSE),"")</f>
        <v>Buurtschap</v>
      </c>
      <c r="Q76" s="12" t="str">
        <f>IFERROR(VLOOKUP(G76,categorieen!$D:$E,2,FALSE),"")</f>
        <v>West Brabant</v>
      </c>
      <c r="R76" s="12" t="str">
        <f>IFERROR(VLOOKUP(H76,categorieen!$D:$E,2,FALSE),"")</f>
        <v/>
      </c>
      <c r="S76" s="12" t="str">
        <f>IFERROR(VLOOKUP(I76,categorieen!$D:$E,2,FALSE),"")</f>
        <v/>
      </c>
      <c r="T76" s="12" t="str">
        <f>IFERROR(VLOOKUP(J76,categorieen!$D:$E,2,FALSE),"")</f>
        <v/>
      </c>
    </row>
    <row r="77" spans="1:20" x14ac:dyDescent="0.25">
      <c r="A77" s="12" t="s">
        <v>120</v>
      </c>
      <c r="B77" s="12"/>
      <c r="C77" s="12">
        <v>42</v>
      </c>
      <c r="D77" s="12">
        <v>17</v>
      </c>
      <c r="E77" s="12">
        <v>32</v>
      </c>
      <c r="F77" s="12">
        <v>1</v>
      </c>
      <c r="G77" s="12">
        <v>26</v>
      </c>
      <c r="H77" s="12"/>
      <c r="I77" s="12"/>
      <c r="J77" s="12"/>
      <c r="K77" s="12"/>
      <c r="L77" s="12"/>
      <c r="M77" s="12" t="str">
        <f>IFERROR(VLOOKUP(C77,categorieen!$D:$E,2,FALSE),"")</f>
        <v>7 letters</v>
      </c>
      <c r="N77" s="12" t="str">
        <f>IFERROR(VLOOKUP(D77,categorieen!$D:$E,2,FALSE),"")</f>
        <v>Met dubbel s</v>
      </c>
      <c r="O77" s="12" t="str">
        <f>IFERROR(VLOOKUP(E77,categorieen!$D:$E,2,FALSE),"")</f>
        <v>Met ie</v>
      </c>
      <c r="P77" s="12" t="str">
        <f>IFERROR(VLOOKUP(F77,categorieen!$D:$E,2,FALSE),"")</f>
        <v>Eerste- en Eindletter hetzelfde</v>
      </c>
      <c r="Q77" s="12" t="str">
        <f>IFERROR(VLOOKUP(G77,categorieen!$D:$E,2,FALSE),"")</f>
        <v>Eindigt op el</v>
      </c>
      <c r="R77" s="12" t="str">
        <f>IFERROR(VLOOKUP(H77,categorieen!$D:$E,2,FALSE),"")</f>
        <v/>
      </c>
      <c r="S77" s="12" t="str">
        <f>IFERROR(VLOOKUP(I77,categorieen!$D:$E,2,FALSE),"")</f>
        <v/>
      </c>
      <c r="T77" s="12" t="str">
        <f>IFERROR(VLOOKUP(J77,categorieen!$D:$E,2,FALSE),"")</f>
        <v/>
      </c>
    </row>
    <row r="78" spans="1:20" x14ac:dyDescent="0.25">
      <c r="A78" s="12" t="s">
        <v>121</v>
      </c>
      <c r="B78" s="12"/>
      <c r="C78" s="12">
        <v>13</v>
      </c>
      <c r="D78" s="12">
        <v>41</v>
      </c>
      <c r="E78" s="12">
        <v>2</v>
      </c>
      <c r="F78" s="12">
        <v>33</v>
      </c>
      <c r="G78" s="12">
        <v>2</v>
      </c>
      <c r="H78" s="12"/>
      <c r="I78" s="12"/>
      <c r="J78" s="12"/>
      <c r="K78" s="12"/>
      <c r="L78" s="12"/>
      <c r="M78" s="12" t="str">
        <f>IFERROR(VLOOKUP(C78,categorieen!$D:$E,2,FALSE),"")</f>
        <v>Met dubbel T</v>
      </c>
      <c r="N78" s="12" t="str">
        <f>IFERROR(VLOOKUP(D78,categorieen!$D:$E,2,FALSE),"")</f>
        <v>Vught</v>
      </c>
      <c r="O78" s="12" t="str">
        <f>IFERROR(VLOOKUP(E78,categorieen!$D:$E,2,FALSE),"")</f>
        <v>(stand)beeld / (Rijks)monument</v>
      </c>
      <c r="P78" s="12" t="str">
        <f>IFERROR(VLOOKUP(F78,categorieen!$D:$E,2,FALSE),"")</f>
        <v>076 (Breda)</v>
      </c>
      <c r="Q78" s="12" t="str">
        <f>IFERROR(VLOOKUP(G78,categorieen!$D:$E,2,FALSE),"")</f>
        <v>(stand)beeld / (Rijks)monument</v>
      </c>
      <c r="R78" s="12" t="str">
        <f>IFERROR(VLOOKUP(H78,categorieen!$D:$E,2,FALSE),"")</f>
        <v/>
      </c>
      <c r="S78" s="12" t="str">
        <f>IFERROR(VLOOKUP(I78,categorieen!$D:$E,2,FALSE),"")</f>
        <v/>
      </c>
      <c r="T78" s="12" t="str">
        <f>IFERROR(VLOOKUP(J78,categorieen!$D:$E,2,FALSE),"")</f>
        <v/>
      </c>
    </row>
    <row r="79" spans="1:20" x14ac:dyDescent="0.25">
      <c r="A79" s="12" t="s">
        <v>122</v>
      </c>
      <c r="B79" s="12"/>
      <c r="C79" s="12">
        <v>42</v>
      </c>
      <c r="D79" s="12">
        <v>14</v>
      </c>
      <c r="E79" s="12">
        <v>41</v>
      </c>
      <c r="F79" s="12">
        <v>27</v>
      </c>
      <c r="G79" s="12">
        <v>2</v>
      </c>
      <c r="H79" s="12">
        <v>27</v>
      </c>
      <c r="I79" s="12"/>
      <c r="J79" s="12"/>
      <c r="K79" s="12"/>
      <c r="L79" s="12"/>
      <c r="M79" s="12" t="str">
        <f>IFERROR(VLOOKUP(C79,categorieen!$D:$E,2,FALSE),"")</f>
        <v>7 letters</v>
      </c>
      <c r="N79" s="12" t="str">
        <f>IFERROR(VLOOKUP(D79,categorieen!$D:$E,2,FALSE),"")</f>
        <v>Kasteel</v>
      </c>
      <c r="O79" s="12" t="str">
        <f>IFERROR(VLOOKUP(E79,categorieen!$D:$E,2,FALSE),"")</f>
        <v>Vught</v>
      </c>
      <c r="P79" s="12" t="str">
        <f>IFERROR(VLOOKUP(F79,categorieen!$D:$E,2,FALSE),"")</f>
        <v>Eten en Drinken (ED)</v>
      </c>
      <c r="Q79" s="12" t="str">
        <f>IFERROR(VLOOKUP(G79,categorieen!$D:$E,2,FALSE),"")</f>
        <v>(stand)beeld / (Rijks)monument</v>
      </c>
      <c r="R79" s="12" t="str">
        <f>IFERROR(VLOOKUP(H79,categorieen!$D:$E,2,FALSE),"")</f>
        <v>Eten en Drinken (ED)</v>
      </c>
      <c r="S79" s="12" t="str">
        <f>IFERROR(VLOOKUP(I79,categorieen!$D:$E,2,FALSE),"")</f>
        <v/>
      </c>
      <c r="T79" s="12" t="str">
        <f>IFERROR(VLOOKUP(J79,categorieen!$D:$E,2,FALSE),"")</f>
        <v/>
      </c>
    </row>
    <row r="80" spans="1:20" x14ac:dyDescent="0.25">
      <c r="A80" s="12" t="s">
        <v>123</v>
      </c>
      <c r="B80" s="12"/>
      <c r="C80" s="12">
        <v>38</v>
      </c>
      <c r="D80" s="12">
        <v>5</v>
      </c>
      <c r="E80" s="12">
        <v>22</v>
      </c>
      <c r="F80" s="12"/>
      <c r="G80" s="12"/>
      <c r="H80" s="12"/>
      <c r="I80" s="12"/>
      <c r="J80" s="12"/>
      <c r="K80" s="12"/>
      <c r="L80" s="12"/>
      <c r="M80" s="12" t="str">
        <f>IFERROR(VLOOKUP(C80,categorieen!$D:$E,2,FALSE),"")</f>
        <v>Sport</v>
      </c>
      <c r="N80" s="12" t="str">
        <f>IFERROR(VLOOKUP(D80,categorieen!$D:$E,2,FALSE),"")</f>
        <v>Bekende Brabanders</v>
      </c>
      <c r="O80" s="12" t="str">
        <f>IFERROR(VLOOKUP(E80,categorieen!$D:$E,2,FALSE),"")</f>
        <v>3x dezelfde letter</v>
      </c>
      <c r="P80" s="12" t="str">
        <f>IFERROR(VLOOKUP(F80,categorieen!$D:$E,2,FALSE),"")</f>
        <v/>
      </c>
      <c r="Q80" s="12" t="str">
        <f>IFERROR(VLOOKUP(G80,categorieen!$D:$E,2,FALSE),"")</f>
        <v/>
      </c>
      <c r="R80" s="12" t="str">
        <f>IFERROR(VLOOKUP(H80,categorieen!$D:$E,2,FALSE),"")</f>
        <v/>
      </c>
      <c r="S80" s="12" t="str">
        <f>IFERROR(VLOOKUP(I80,categorieen!$D:$E,2,FALSE),"")</f>
        <v/>
      </c>
      <c r="T80" s="12" t="str">
        <f>IFERROR(VLOOKUP(J80,categorieen!$D:$E,2,FALSE),"")</f>
        <v/>
      </c>
    </row>
    <row r="81" spans="1:20" x14ac:dyDescent="0.25">
      <c r="A81" s="12" t="s">
        <v>125</v>
      </c>
      <c r="B81" s="12"/>
      <c r="C81" s="12">
        <v>19</v>
      </c>
      <c r="D81" s="12">
        <v>37</v>
      </c>
      <c r="E81" s="12">
        <v>13</v>
      </c>
      <c r="F81" s="12">
        <v>12</v>
      </c>
      <c r="G81" s="12"/>
      <c r="H81" s="12"/>
      <c r="I81" s="12"/>
      <c r="J81" s="12"/>
      <c r="K81" s="12"/>
      <c r="L81" s="12"/>
      <c r="M81" s="12" t="str">
        <f>IFERROR(VLOOKUP(C81,categorieen!$D:$E,2,FALSE),"")</f>
        <v>Natuur</v>
      </c>
      <c r="N81" s="12" t="str">
        <f>IFERROR(VLOOKUP(D81,categorieen!$D:$E,2,FALSE),"")</f>
        <v>s Hertogenbosch (DB)</v>
      </c>
      <c r="O81" s="12" t="str">
        <f>IFERROR(VLOOKUP(E81,categorieen!$D:$E,2,FALSE),"")</f>
        <v>Met dubbel T</v>
      </c>
      <c r="P81" s="12" t="str">
        <f>IFERROR(VLOOKUP(F81,categorieen!$D:$E,2,FALSE),"")</f>
        <v>Water</v>
      </c>
      <c r="Q81" s="12" t="str">
        <f>IFERROR(VLOOKUP(G81,categorieen!$D:$E,2,FALSE),"")</f>
        <v/>
      </c>
      <c r="R81" s="12" t="str">
        <f>IFERROR(VLOOKUP(H81,categorieen!$D:$E,2,FALSE),"")</f>
        <v/>
      </c>
      <c r="S81" s="12" t="str">
        <f>IFERROR(VLOOKUP(I81,categorieen!$D:$E,2,FALSE),"")</f>
        <v/>
      </c>
      <c r="T81" s="12" t="str">
        <f>IFERROR(VLOOKUP(J81,categorieen!$D:$E,2,FALSE),"")</f>
        <v/>
      </c>
    </row>
    <row r="82" spans="1:20" x14ac:dyDescent="0.25">
      <c r="A82" s="12" t="s">
        <v>126</v>
      </c>
      <c r="B82" s="12"/>
      <c r="C82" s="12">
        <v>24</v>
      </c>
      <c r="D82" s="12">
        <v>38</v>
      </c>
      <c r="E82" s="12">
        <v>33</v>
      </c>
      <c r="F82" s="12">
        <v>23</v>
      </c>
      <c r="G82" s="12"/>
      <c r="H82" s="12"/>
      <c r="I82" s="12"/>
      <c r="J82" s="12"/>
      <c r="K82" s="12"/>
      <c r="L82" s="12"/>
      <c r="M82" s="12" t="str">
        <f>IFERROR(VLOOKUP(C82,categorieen!$D:$E,2,FALSE),"")</f>
        <v>3 of 4 letters</v>
      </c>
      <c r="N82" s="12" t="str">
        <f>IFERROR(VLOOKUP(D82,categorieen!$D:$E,2,FALSE),"")</f>
        <v>Sport</v>
      </c>
      <c r="O82" s="12" t="str">
        <f>IFERROR(VLOOKUP(E82,categorieen!$D:$E,2,FALSE),"")</f>
        <v>076 (Breda)</v>
      </c>
      <c r="P82" s="12" t="str">
        <f>IFERROR(VLOOKUP(F82,categorieen!$D:$E,2,FALSE),"")</f>
        <v>Begint met N</v>
      </c>
      <c r="Q82" s="12" t="str">
        <f>IFERROR(VLOOKUP(G82,categorieen!$D:$E,2,FALSE),"")</f>
        <v/>
      </c>
      <c r="R82" s="12" t="str">
        <f>IFERROR(VLOOKUP(H82,categorieen!$D:$E,2,FALSE),"")</f>
        <v/>
      </c>
      <c r="S82" s="12" t="str">
        <f>IFERROR(VLOOKUP(I82,categorieen!$D:$E,2,FALSE),"")</f>
        <v/>
      </c>
      <c r="T82" s="12" t="str">
        <f>IFERROR(VLOOKUP(J82,categorieen!$D:$E,2,FALSE),"")</f>
        <v/>
      </c>
    </row>
    <row r="83" spans="1:20" x14ac:dyDescent="0.25">
      <c r="A83" s="12" t="s">
        <v>130</v>
      </c>
      <c r="B83" s="12"/>
      <c r="C83" s="12">
        <v>14</v>
      </c>
      <c r="D83" s="12">
        <v>23</v>
      </c>
      <c r="E83" s="12">
        <v>2</v>
      </c>
      <c r="F83" s="12">
        <v>22</v>
      </c>
      <c r="G83" s="12">
        <v>12</v>
      </c>
      <c r="H83" s="12"/>
      <c r="I83" s="12"/>
      <c r="J83" s="12"/>
      <c r="K83" s="12"/>
      <c r="L83" s="12"/>
      <c r="M83" s="12" t="str">
        <f>IFERROR(VLOOKUP(C83,categorieen!$D:$E,2,FALSE),"")</f>
        <v>Kasteel</v>
      </c>
      <c r="N83" s="12" t="str">
        <f>IFERROR(VLOOKUP(D83,categorieen!$D:$E,2,FALSE),"")</f>
        <v>Begint met N</v>
      </c>
      <c r="O83" s="12" t="str">
        <f>IFERROR(VLOOKUP(E83,categorieen!$D:$E,2,FALSE),"")</f>
        <v>(stand)beeld / (Rijks)monument</v>
      </c>
      <c r="P83" s="12" t="str">
        <f>IFERROR(VLOOKUP(F83,categorieen!$D:$E,2,FALSE),"")</f>
        <v>3x dezelfde letter</v>
      </c>
      <c r="Q83" s="12" t="str">
        <f>IFERROR(VLOOKUP(G83,categorieen!$D:$E,2,FALSE),"")</f>
        <v>Water</v>
      </c>
      <c r="R83" s="12" t="str">
        <f>IFERROR(VLOOKUP(H83,categorieen!$D:$E,2,FALSE),"")</f>
        <v/>
      </c>
      <c r="S83" s="12" t="str">
        <f>IFERROR(VLOOKUP(I83,categorieen!$D:$E,2,FALSE),"")</f>
        <v/>
      </c>
      <c r="T83" s="12" t="str">
        <f>IFERROR(VLOOKUP(J83,categorieen!$D:$E,2,FALSE),"")</f>
        <v/>
      </c>
    </row>
    <row r="84" spans="1:20" x14ac:dyDescent="0.25">
      <c r="A84" s="12" t="s">
        <v>131</v>
      </c>
      <c r="B84" s="12"/>
      <c r="C84" s="12">
        <v>23</v>
      </c>
      <c r="D84" s="12">
        <v>21</v>
      </c>
      <c r="E84" s="12">
        <v>32</v>
      </c>
      <c r="F84" s="12">
        <v>43</v>
      </c>
      <c r="G84" s="12">
        <v>12</v>
      </c>
      <c r="H84" s="12">
        <v>17</v>
      </c>
      <c r="I84" s="12"/>
      <c r="J84" s="12"/>
      <c r="K84" s="12"/>
      <c r="L84" s="12"/>
      <c r="M84" s="12" t="str">
        <f>IFERROR(VLOOKUP(C84,categorieen!$D:$E,2,FALSE),"")</f>
        <v>Begint met N</v>
      </c>
      <c r="N84" s="12" t="str">
        <f>IFERROR(VLOOKUP(D84,categorieen!$D:$E,2,FALSE),"")</f>
        <v>West Brabant</v>
      </c>
      <c r="O84" s="12" t="str">
        <f>IFERROR(VLOOKUP(E84,categorieen!$D:$E,2,FALSE),"")</f>
        <v>Met ie</v>
      </c>
      <c r="P84" s="12" t="str">
        <f>IFERROR(VLOOKUP(F84,categorieen!$D:$E,2,FALSE),"")</f>
        <v>Dierlijk</v>
      </c>
      <c r="Q84" s="12" t="str">
        <f>IFERROR(VLOOKUP(G84,categorieen!$D:$E,2,FALSE),"")</f>
        <v>Water</v>
      </c>
      <c r="R84" s="12" t="str">
        <f>IFERROR(VLOOKUP(H84,categorieen!$D:$E,2,FALSE),"")</f>
        <v>Met dubbel s</v>
      </c>
      <c r="S84" s="12" t="str">
        <f>IFERROR(VLOOKUP(I84,categorieen!$D:$E,2,FALSE),"")</f>
        <v/>
      </c>
      <c r="T84" s="12" t="str">
        <f>IFERROR(VLOOKUP(J84,categorieen!$D:$E,2,FALSE),"")</f>
        <v/>
      </c>
    </row>
    <row r="85" spans="1:20" x14ac:dyDescent="0.25">
      <c r="A85" s="12" t="s">
        <v>132</v>
      </c>
      <c r="B85" s="12"/>
      <c r="C85" s="12">
        <v>23</v>
      </c>
      <c r="D85" s="12">
        <v>4</v>
      </c>
      <c r="E85" s="12">
        <v>16</v>
      </c>
      <c r="F85" s="12">
        <v>19</v>
      </c>
      <c r="G85" s="12"/>
      <c r="H85" s="12"/>
      <c r="I85" s="12"/>
      <c r="J85" s="12"/>
      <c r="K85" s="12"/>
      <c r="L85" s="12"/>
      <c r="M85" s="12" t="str">
        <f>IFERROR(VLOOKUP(C85,categorieen!$D:$E,2,FALSE),"")</f>
        <v>Begint met N</v>
      </c>
      <c r="N85" s="12" t="str">
        <f>IFERROR(VLOOKUP(D85,categorieen!$D:$E,2,FALSE),"")</f>
        <v>Zes letters</v>
      </c>
      <c r="O85" s="12" t="str">
        <f>IFERROR(VLOOKUP(E85,categorieen!$D:$E,2,FALSE),"")</f>
        <v>Buurtschap</v>
      </c>
      <c r="P85" s="12" t="str">
        <f>IFERROR(VLOOKUP(F85,categorieen!$D:$E,2,FALSE),"")</f>
        <v>Natuur</v>
      </c>
      <c r="Q85" s="12" t="str">
        <f>IFERROR(VLOOKUP(G85,categorieen!$D:$E,2,FALSE),"")</f>
        <v/>
      </c>
      <c r="R85" s="12" t="str">
        <f>IFERROR(VLOOKUP(H85,categorieen!$D:$E,2,FALSE),"")</f>
        <v/>
      </c>
      <c r="S85" s="12" t="str">
        <f>IFERROR(VLOOKUP(I85,categorieen!$D:$E,2,FALSE),"")</f>
        <v/>
      </c>
      <c r="T85" s="12" t="str">
        <f>IFERROR(VLOOKUP(J85,categorieen!$D:$E,2,FALSE),"")</f>
        <v/>
      </c>
    </row>
    <row r="86" spans="1:20" x14ac:dyDescent="0.25">
      <c r="A86" s="12" t="s">
        <v>133</v>
      </c>
      <c r="B86" s="12"/>
      <c r="C86" s="12">
        <v>23</v>
      </c>
      <c r="D86" s="12">
        <v>34</v>
      </c>
      <c r="E86" s="12">
        <v>38</v>
      </c>
      <c r="F86" s="12">
        <v>27</v>
      </c>
      <c r="G86" s="12"/>
      <c r="H86" s="12"/>
      <c r="I86" s="12"/>
      <c r="J86" s="12"/>
      <c r="K86" s="12"/>
      <c r="L86" s="12"/>
      <c r="M86" s="12" t="str">
        <f>IFERROR(VLOOKUP(C86,categorieen!$D:$E,2,FALSE),"")</f>
        <v>Begint met N</v>
      </c>
      <c r="N86" s="12" t="str">
        <f>IFERROR(VLOOKUP(D86,categorieen!$D:$E,2,FALSE),"")</f>
        <v>Met 4 Wieken</v>
      </c>
      <c r="O86" s="12" t="str">
        <f>IFERROR(VLOOKUP(E86,categorieen!$D:$E,2,FALSE),"")</f>
        <v>Sport</v>
      </c>
      <c r="P86" s="12" t="str">
        <f>IFERROR(VLOOKUP(F86,categorieen!$D:$E,2,FALSE),"")</f>
        <v>Eten en Drinken (ED)</v>
      </c>
      <c r="Q86" s="12" t="str">
        <f>IFERROR(VLOOKUP(G86,categorieen!$D:$E,2,FALSE),"")</f>
        <v/>
      </c>
      <c r="R86" s="12" t="str">
        <f>IFERROR(VLOOKUP(H86,categorieen!$D:$E,2,FALSE),"")</f>
        <v/>
      </c>
      <c r="S86" s="12" t="str">
        <f>IFERROR(VLOOKUP(I86,categorieen!$D:$E,2,FALSE),"")</f>
        <v/>
      </c>
      <c r="T86" s="12" t="str">
        <f>IFERROR(VLOOKUP(J86,categorieen!$D:$E,2,FALSE),"")</f>
        <v/>
      </c>
    </row>
    <row r="87" spans="1:20" x14ac:dyDescent="0.25">
      <c r="A87" s="12" t="s">
        <v>134</v>
      </c>
      <c r="B87" s="12" t="s">
        <v>234</v>
      </c>
      <c r="C87" s="12">
        <v>23</v>
      </c>
      <c r="D87" s="12">
        <v>22</v>
      </c>
      <c r="E87" s="12">
        <v>16</v>
      </c>
      <c r="F87" s="12">
        <v>21</v>
      </c>
      <c r="G87" s="12"/>
      <c r="H87" s="12"/>
      <c r="I87" s="12"/>
      <c r="J87" s="12"/>
      <c r="K87" s="12"/>
      <c r="L87" s="12"/>
      <c r="M87" s="12" t="str">
        <f>IFERROR(VLOOKUP(C87,categorieen!$D:$E,2,FALSE),"")</f>
        <v>Begint met N</v>
      </c>
      <c r="N87" s="12" t="str">
        <f>IFERROR(VLOOKUP(D87,categorieen!$D:$E,2,FALSE),"")</f>
        <v>3x dezelfde letter</v>
      </c>
      <c r="O87" s="12" t="str">
        <f>IFERROR(VLOOKUP(E87,categorieen!$D:$E,2,FALSE),"")</f>
        <v>Buurtschap</v>
      </c>
      <c r="P87" s="12" t="str">
        <f>IFERROR(VLOOKUP(F87,categorieen!$D:$E,2,FALSE),"")</f>
        <v>West Brabant</v>
      </c>
      <c r="Q87" s="12" t="str">
        <f>IFERROR(VLOOKUP(G87,categorieen!$D:$E,2,FALSE),"")</f>
        <v/>
      </c>
      <c r="R87" s="12" t="str">
        <f>IFERROR(VLOOKUP(H87,categorieen!$D:$E,2,FALSE),"")</f>
        <v/>
      </c>
      <c r="S87" s="12" t="str">
        <f>IFERROR(VLOOKUP(I87,categorieen!$D:$E,2,FALSE),"")</f>
        <v/>
      </c>
      <c r="T87" s="12" t="str">
        <f>IFERROR(VLOOKUP(J87,categorieen!$D:$E,2,FALSE),"")</f>
        <v/>
      </c>
    </row>
    <row r="88" spans="1:20" x14ac:dyDescent="0.25">
      <c r="A88" s="12" t="s">
        <v>135</v>
      </c>
      <c r="B88" s="12"/>
      <c r="C88" s="12">
        <v>23</v>
      </c>
      <c r="D88" s="12">
        <v>42</v>
      </c>
      <c r="E88" s="12">
        <v>1</v>
      </c>
      <c r="F88" s="12">
        <v>4</v>
      </c>
      <c r="G88" s="12">
        <v>9</v>
      </c>
      <c r="H88" s="12"/>
      <c r="I88" s="12"/>
      <c r="J88" s="12"/>
      <c r="K88" s="12"/>
      <c r="L88" s="12"/>
      <c r="M88" s="12" t="str">
        <f>IFERROR(VLOOKUP(C88,categorieen!$D:$E,2,FALSE),"")</f>
        <v>Begint met N</v>
      </c>
      <c r="N88" s="12" t="str">
        <f>IFERROR(VLOOKUP(D88,categorieen!$D:$E,2,FALSE),"")</f>
        <v>7 letters</v>
      </c>
      <c r="O88" s="12" t="str">
        <f>IFERROR(VLOOKUP(E88,categorieen!$D:$E,2,FALSE),"")</f>
        <v>Eerste- en Eindletter hetzelfde</v>
      </c>
      <c r="P88" s="12" t="str">
        <f>IFERROR(VLOOKUP(F88,categorieen!$D:$E,2,FALSE),"")</f>
        <v>Zes letters</v>
      </c>
      <c r="Q88" s="12" t="str">
        <f>IFERROR(VLOOKUP(G88,categorieen!$D:$E,2,FALSE),"")</f>
        <v>Kiosk</v>
      </c>
      <c r="R88" s="12" t="str">
        <f>IFERROR(VLOOKUP(H88,categorieen!$D:$E,2,FALSE),"")</f>
        <v/>
      </c>
      <c r="S88" s="12" t="str">
        <f>IFERROR(VLOOKUP(I88,categorieen!$D:$E,2,FALSE),"")</f>
        <v/>
      </c>
      <c r="T88" s="12" t="str">
        <f>IFERROR(VLOOKUP(J88,categorieen!$D:$E,2,FALSE),"")</f>
        <v/>
      </c>
    </row>
    <row r="89" spans="1:20" x14ac:dyDescent="0.25">
      <c r="A89" s="12" t="s">
        <v>136</v>
      </c>
      <c r="B89" s="12"/>
      <c r="C89" s="12">
        <v>37</v>
      </c>
      <c r="D89" s="12">
        <v>12</v>
      </c>
      <c r="E89" s="12">
        <v>19</v>
      </c>
      <c r="F89" s="12"/>
      <c r="G89" s="12"/>
      <c r="H89" s="12"/>
      <c r="I89" s="12"/>
      <c r="J89" s="12"/>
      <c r="K89" s="12"/>
      <c r="L89" s="12"/>
      <c r="M89" s="12" t="str">
        <f>IFERROR(VLOOKUP(C89,categorieen!$D:$E,2,FALSE),"")</f>
        <v>s Hertogenbosch (DB)</v>
      </c>
      <c r="N89" s="12" t="str">
        <f>IFERROR(VLOOKUP(D89,categorieen!$D:$E,2,FALSE),"")</f>
        <v>Water</v>
      </c>
      <c r="O89" s="12" t="str">
        <f>IFERROR(VLOOKUP(E89,categorieen!$D:$E,2,FALSE),"")</f>
        <v>Natuur</v>
      </c>
      <c r="P89" s="12" t="str">
        <f>IFERROR(VLOOKUP(F89,categorieen!$D:$E,2,FALSE),"")</f>
        <v/>
      </c>
      <c r="Q89" s="12" t="str">
        <f>IFERROR(VLOOKUP(G89,categorieen!$D:$E,2,FALSE),"")</f>
        <v/>
      </c>
      <c r="R89" s="12" t="str">
        <f>IFERROR(VLOOKUP(H89,categorieen!$D:$E,2,FALSE),"")</f>
        <v/>
      </c>
      <c r="S89" s="12" t="str">
        <f>IFERROR(VLOOKUP(I89,categorieen!$D:$E,2,FALSE),"")</f>
        <v/>
      </c>
      <c r="T89" s="12" t="str">
        <f>IFERROR(VLOOKUP(J89,categorieen!$D:$E,2,FALSE),"")</f>
        <v/>
      </c>
    </row>
    <row r="90" spans="1:20" x14ac:dyDescent="0.25">
      <c r="A90" s="12" t="s">
        <v>137</v>
      </c>
      <c r="B90" s="12"/>
      <c r="C90" s="12">
        <v>24</v>
      </c>
      <c r="D90" s="12">
        <v>17</v>
      </c>
      <c r="E90" s="12">
        <v>43</v>
      </c>
      <c r="F90" s="12">
        <v>14</v>
      </c>
      <c r="G90" s="12"/>
      <c r="H90" s="12"/>
      <c r="I90" s="12"/>
      <c r="J90" s="12"/>
      <c r="K90" s="12"/>
      <c r="L90" s="12"/>
      <c r="M90" s="12" t="str">
        <f>IFERROR(VLOOKUP(C90,categorieen!$D:$E,2,FALSE),"")</f>
        <v>3 of 4 letters</v>
      </c>
      <c r="N90" s="12" t="str">
        <f>IFERROR(VLOOKUP(D90,categorieen!$D:$E,2,FALSE),"")</f>
        <v>Met dubbel s</v>
      </c>
      <c r="O90" s="12" t="str">
        <f>IFERROR(VLOOKUP(E90,categorieen!$D:$E,2,FALSE),"")</f>
        <v>Dierlijk</v>
      </c>
      <c r="P90" s="12" t="str">
        <f>IFERROR(VLOOKUP(F90,categorieen!$D:$E,2,FALSE),"")</f>
        <v>Kasteel</v>
      </c>
      <c r="Q90" s="12" t="str">
        <f>IFERROR(VLOOKUP(G90,categorieen!$D:$E,2,FALSE),"")</f>
        <v/>
      </c>
      <c r="R90" s="12" t="str">
        <f>IFERROR(VLOOKUP(H90,categorieen!$D:$E,2,FALSE),"")</f>
        <v/>
      </c>
      <c r="S90" s="12" t="str">
        <f>IFERROR(VLOOKUP(I90,categorieen!$D:$E,2,FALSE),"")</f>
        <v/>
      </c>
      <c r="T90" s="12" t="str">
        <f>IFERROR(VLOOKUP(J90,categorieen!$D:$E,2,FALSE),"")</f>
        <v/>
      </c>
    </row>
    <row r="91" spans="1:20" x14ac:dyDescent="0.25">
      <c r="A91" s="17" t="s">
        <v>185</v>
      </c>
      <c r="B91" s="12"/>
      <c r="C91" s="11">
        <v>20</v>
      </c>
      <c r="D91" s="11">
        <v>1</v>
      </c>
      <c r="E91" s="12">
        <v>22</v>
      </c>
      <c r="F91" s="12"/>
      <c r="G91" s="12"/>
      <c r="H91" s="12"/>
      <c r="I91" s="12"/>
      <c r="J91" s="12"/>
      <c r="K91" s="12"/>
      <c r="L91" s="12"/>
      <c r="M91" s="12" t="str">
        <f>IFERROR(VLOOKUP(C91,categorieen!$D:$E,2,FALSE),"")</f>
        <v>Festival</v>
      </c>
      <c r="N91" s="12" t="str">
        <f>IFERROR(VLOOKUP(D91,categorieen!$D:$E,2,FALSE),"")</f>
        <v>Eerste- en Eindletter hetzelfde</v>
      </c>
      <c r="O91" s="12" t="str">
        <f>IFERROR(VLOOKUP(E91,categorieen!$D:$E,2,FALSE),"")</f>
        <v>3x dezelfde letter</v>
      </c>
      <c r="P91" s="12" t="str">
        <f>IFERROR(VLOOKUP(F91,categorieen!$D:$E,2,FALSE),"")</f>
        <v/>
      </c>
      <c r="Q91" s="12" t="str">
        <f>IFERROR(VLOOKUP(G91,categorieen!$D:$E,2,FALSE),"")</f>
        <v/>
      </c>
      <c r="R91" s="12" t="str">
        <f>IFERROR(VLOOKUP(H91,categorieen!$D:$E,2,FALSE),"")</f>
        <v/>
      </c>
      <c r="S91" s="12" t="str">
        <f>IFERROR(VLOOKUP(I91,categorieen!$D:$E,2,FALSE),"")</f>
        <v/>
      </c>
      <c r="T91" s="12" t="str">
        <f>IFERROR(VLOOKUP(J91,categorieen!$D:$E,2,FALSE),"")</f>
        <v/>
      </c>
    </row>
    <row r="92" spans="1:20" x14ac:dyDescent="0.25">
      <c r="A92" s="12" t="s">
        <v>138</v>
      </c>
      <c r="B92" s="12"/>
      <c r="C92" s="12">
        <v>1</v>
      </c>
      <c r="D92" s="12">
        <v>8</v>
      </c>
      <c r="E92" s="12">
        <v>39</v>
      </c>
      <c r="F92" s="12">
        <v>27</v>
      </c>
      <c r="G92" s="12">
        <v>36</v>
      </c>
      <c r="H92" s="12"/>
      <c r="I92" s="12"/>
      <c r="J92" s="12"/>
      <c r="K92" s="12"/>
      <c r="L92" s="12"/>
      <c r="M92" s="12" t="str">
        <f>IFERROR(VLOOKUP(C92,categorieen!$D:$E,2,FALSE),"")</f>
        <v>Eerste- en Eindletter hetzelfde</v>
      </c>
      <c r="N92" s="12" t="str">
        <f>IFERROR(VLOOKUP(D92,categorieen!$D:$E,2,FALSE),"")</f>
        <v>040 (Eindhoven)</v>
      </c>
      <c r="O92" s="12" t="str">
        <f>IFERROR(VLOOKUP(E92,categorieen!$D:$E,2,FALSE),"")</f>
        <v>Theater</v>
      </c>
      <c r="P92" s="12" t="str">
        <f>IFERROR(VLOOKUP(F92,categorieen!$D:$E,2,FALSE),"")</f>
        <v>Eten en Drinken (ED)</v>
      </c>
      <c r="Q92" s="12" t="str">
        <f>IFERROR(VLOOKUP(G92,categorieen!$D:$E,2,FALSE),"")</f>
        <v>Plein</v>
      </c>
      <c r="R92" s="12" t="str">
        <f>IFERROR(VLOOKUP(H92,categorieen!$D:$E,2,FALSE),"")</f>
        <v/>
      </c>
      <c r="S92" s="12" t="str">
        <f>IFERROR(VLOOKUP(I92,categorieen!$D:$E,2,FALSE),"")</f>
        <v/>
      </c>
      <c r="T92" s="12" t="str">
        <f>IFERROR(VLOOKUP(J92,categorieen!$D:$E,2,FALSE),"")</f>
        <v/>
      </c>
    </row>
    <row r="93" spans="1:20" x14ac:dyDescent="0.25">
      <c r="A93" s="11" t="s">
        <v>139</v>
      </c>
      <c r="B93" s="12"/>
      <c r="C93" s="12">
        <v>20</v>
      </c>
      <c r="D93" s="12">
        <v>1</v>
      </c>
      <c r="E93" s="12">
        <v>31</v>
      </c>
      <c r="F93" s="12">
        <v>8</v>
      </c>
      <c r="G93" s="12"/>
      <c r="H93" s="12"/>
      <c r="I93" s="12"/>
      <c r="J93" s="12"/>
      <c r="K93" s="12"/>
      <c r="L93" s="12"/>
      <c r="M93" s="12" t="str">
        <f>IFERROR(VLOOKUP(C93,categorieen!$D:$E,2,FALSE),"")</f>
        <v>Festival</v>
      </c>
      <c r="N93" s="12" t="str">
        <f>IFERROR(VLOOKUP(D93,categorieen!$D:$E,2,FALSE),"")</f>
        <v>Eerste- en Eindletter hetzelfde</v>
      </c>
      <c r="O93" s="12" t="str">
        <f>IFERROR(VLOOKUP(E93,categorieen!$D:$E,2,FALSE),"")</f>
        <v>Kleurrijk</v>
      </c>
      <c r="P93" s="12" t="str">
        <f>IFERROR(VLOOKUP(F93,categorieen!$D:$E,2,FALSE),"")</f>
        <v>040 (Eindhoven)</v>
      </c>
      <c r="Q93" s="12" t="str">
        <f>IFERROR(VLOOKUP(G93,categorieen!$D:$E,2,FALSE),"")</f>
        <v/>
      </c>
      <c r="R93" s="12" t="str">
        <f>IFERROR(VLOOKUP(H93,categorieen!$D:$E,2,FALSE),"")</f>
        <v/>
      </c>
      <c r="S93" s="12" t="str">
        <f>IFERROR(VLOOKUP(I93,categorieen!$D:$E,2,FALSE),"")</f>
        <v/>
      </c>
      <c r="T93" s="12" t="str">
        <f>IFERROR(VLOOKUP(J93,categorieen!$D:$E,2,FALSE),"")</f>
        <v/>
      </c>
    </row>
    <row r="94" spans="1:20" x14ac:dyDescent="0.25">
      <c r="A94" s="12" t="s">
        <v>140</v>
      </c>
      <c r="B94" s="12"/>
      <c r="C94" s="12">
        <v>7</v>
      </c>
      <c r="D94" s="12">
        <v>4</v>
      </c>
      <c r="E94" s="12">
        <v>30</v>
      </c>
      <c r="F94" s="12"/>
      <c r="G94" s="12"/>
      <c r="H94" s="12"/>
      <c r="I94" s="12"/>
      <c r="J94" s="12"/>
      <c r="K94" s="12"/>
      <c r="L94" s="12"/>
      <c r="M94" s="12" t="str">
        <f>IFERROR(VLOOKUP(C94,categorieen!$D:$E,2,FALSE),"")</f>
        <v>Alaaf</v>
      </c>
      <c r="N94" s="12" t="str">
        <f>IFERROR(VLOOKUP(D94,categorieen!$D:$E,2,FALSE),"")</f>
        <v>Zes letters</v>
      </c>
      <c r="O94" s="12" t="str">
        <f>IFERROR(VLOOKUP(E94,categorieen!$D:$E,2,FALSE),"")</f>
        <v>In de volksmond (IDV)</v>
      </c>
      <c r="P94" s="12" t="str">
        <f>IFERROR(VLOOKUP(F94,categorieen!$D:$E,2,FALSE),"")</f>
        <v/>
      </c>
      <c r="Q94" s="12" t="str">
        <f>IFERROR(VLOOKUP(G94,categorieen!$D:$E,2,FALSE),"")</f>
        <v/>
      </c>
      <c r="R94" s="12" t="str">
        <f>IFERROR(VLOOKUP(H94,categorieen!$D:$E,2,FALSE),"")</f>
        <v/>
      </c>
      <c r="S94" s="12" t="str">
        <f>IFERROR(VLOOKUP(I94,categorieen!$D:$E,2,FALSE),"")</f>
        <v/>
      </c>
      <c r="T94" s="12" t="str">
        <f>IFERROR(VLOOKUP(J94,categorieen!$D:$E,2,FALSE),"")</f>
        <v/>
      </c>
    </row>
    <row r="95" spans="1:20" x14ac:dyDescent="0.25">
      <c r="A95" s="12" t="s">
        <v>141</v>
      </c>
      <c r="B95" s="12"/>
      <c r="C95" s="12">
        <v>30</v>
      </c>
      <c r="D95" s="12">
        <v>7</v>
      </c>
      <c r="E95" s="12">
        <v>40</v>
      </c>
      <c r="F95" s="12">
        <v>21</v>
      </c>
      <c r="G95" s="12"/>
      <c r="H95" s="12"/>
      <c r="I95" s="12"/>
      <c r="J95" s="12"/>
      <c r="K95" s="12"/>
      <c r="L95" s="12"/>
      <c r="M95" s="12" t="str">
        <f>IFERROR(VLOOKUP(C95,categorieen!$D:$E,2,FALSE),"")</f>
        <v>In de volksmond (IDV)</v>
      </c>
      <c r="N95" s="12" t="str">
        <f>IFERROR(VLOOKUP(D95,categorieen!$D:$E,2,FALSE),"")</f>
        <v>Alaaf</v>
      </c>
      <c r="O95" s="12" t="str">
        <f>IFERROR(VLOOKUP(E95,categorieen!$D:$E,2,FALSE),"")</f>
        <v>Typisch Brabants (TB)</v>
      </c>
      <c r="P95" s="12" t="str">
        <f>IFERROR(VLOOKUP(F95,categorieen!$D:$E,2,FALSE),"")</f>
        <v>West Brabant</v>
      </c>
      <c r="Q95" s="12" t="str">
        <f>IFERROR(VLOOKUP(G95,categorieen!$D:$E,2,FALSE),"")</f>
        <v/>
      </c>
      <c r="R95" s="12" t="str">
        <f>IFERROR(VLOOKUP(H95,categorieen!$D:$E,2,FALSE),"")</f>
        <v/>
      </c>
      <c r="S95" s="12" t="str">
        <f>IFERROR(VLOOKUP(I95,categorieen!$D:$E,2,FALSE),"")</f>
        <v/>
      </c>
      <c r="T95" s="12" t="str">
        <f>IFERROR(VLOOKUP(J95,categorieen!$D:$E,2,FALSE),"")</f>
        <v/>
      </c>
    </row>
    <row r="96" spans="1:20" x14ac:dyDescent="0.25">
      <c r="A96" s="12" t="s">
        <v>142</v>
      </c>
      <c r="B96" s="12"/>
      <c r="C96" s="12">
        <v>28</v>
      </c>
      <c r="D96" s="12">
        <v>11</v>
      </c>
      <c r="E96" s="12">
        <v>22</v>
      </c>
      <c r="F96" s="12">
        <v>41</v>
      </c>
      <c r="G96" s="12">
        <v>33</v>
      </c>
      <c r="H96" s="12"/>
      <c r="I96" s="12"/>
      <c r="J96" s="12"/>
      <c r="K96" s="12"/>
      <c r="L96" s="12"/>
      <c r="M96" s="12" t="str">
        <f>IFERROR(VLOOKUP(C96,categorieen!$D:$E,2,FALSE),"")</f>
        <v>Heilige</v>
      </c>
      <c r="N96" s="12" t="str">
        <f>IFERROR(VLOOKUP(D96,categorieen!$D:$E,2,FALSE),"")</f>
        <v>Tilburg</v>
      </c>
      <c r="O96" s="12" t="str">
        <f>IFERROR(VLOOKUP(E96,categorieen!$D:$E,2,FALSE),"")</f>
        <v>3x dezelfde letter</v>
      </c>
      <c r="P96" s="12" t="str">
        <f>IFERROR(VLOOKUP(F96,categorieen!$D:$E,2,FALSE),"")</f>
        <v>Vught</v>
      </c>
      <c r="Q96" s="12" t="str">
        <f>IFERROR(VLOOKUP(G96,categorieen!$D:$E,2,FALSE),"")</f>
        <v>076 (Breda)</v>
      </c>
      <c r="R96" s="12" t="str">
        <f>IFERROR(VLOOKUP(H96,categorieen!$D:$E,2,FALSE),"")</f>
        <v/>
      </c>
      <c r="S96" s="12" t="str">
        <f>IFERROR(VLOOKUP(I96,categorieen!$D:$E,2,FALSE),"")</f>
        <v/>
      </c>
      <c r="T96" s="12" t="str">
        <f>IFERROR(VLOOKUP(J96,categorieen!$D:$E,2,FALSE),"")</f>
        <v/>
      </c>
    </row>
    <row r="97" spans="1:20" x14ac:dyDescent="0.25">
      <c r="A97" s="12" t="s">
        <v>191</v>
      </c>
      <c r="B97" s="12"/>
      <c r="C97" s="12">
        <v>38</v>
      </c>
      <c r="D97" s="12">
        <v>22</v>
      </c>
      <c r="E97" s="12">
        <v>18</v>
      </c>
      <c r="F97" s="12">
        <v>17</v>
      </c>
      <c r="G97" s="12">
        <v>43</v>
      </c>
      <c r="H97" s="12">
        <v>32</v>
      </c>
      <c r="I97" s="12">
        <v>12</v>
      </c>
      <c r="J97" s="12"/>
      <c r="K97" s="12"/>
      <c r="L97" s="12"/>
      <c r="M97" s="12" t="str">
        <f>IFERROR(VLOOKUP(C97,categorieen!$D:$E,2,FALSE),"")</f>
        <v>Sport</v>
      </c>
      <c r="N97" s="12" t="str">
        <f>IFERROR(VLOOKUP(D97,categorieen!$D:$E,2,FALSE),"")</f>
        <v>3x dezelfde letter</v>
      </c>
      <c r="O97" s="12" t="str">
        <f>IFERROR(VLOOKUP(E97,categorieen!$D:$E,2,FALSE),"")</f>
        <v>Willem II</v>
      </c>
      <c r="P97" s="12" t="str">
        <f>IFERROR(VLOOKUP(F97,categorieen!$D:$E,2,FALSE),"")</f>
        <v>Met dubbel s</v>
      </c>
      <c r="Q97" s="12" t="str">
        <f>IFERROR(VLOOKUP(G97,categorieen!$D:$E,2,FALSE),"")</f>
        <v>Dierlijk</v>
      </c>
      <c r="R97" s="12" t="str">
        <f>IFERROR(VLOOKUP(H97,categorieen!$D:$E,2,FALSE),"")</f>
        <v>Met ie</v>
      </c>
      <c r="S97" s="12" t="str">
        <f>IFERROR(VLOOKUP(I97,categorieen!$D:$E,2,FALSE),"")</f>
        <v>Water</v>
      </c>
      <c r="T97" s="12" t="str">
        <f>IFERROR(VLOOKUP(J97,categorieen!$D:$E,2,FALSE),"")</f>
        <v/>
      </c>
    </row>
    <row r="98" spans="1:20" x14ac:dyDescent="0.25">
      <c r="A98" s="12" t="s">
        <v>143</v>
      </c>
      <c r="B98" s="12"/>
      <c r="C98" s="12">
        <v>15</v>
      </c>
      <c r="D98" s="12">
        <v>36</v>
      </c>
      <c r="E98" s="12">
        <v>9</v>
      </c>
      <c r="F98" s="12">
        <v>11</v>
      </c>
      <c r="G98" s="12"/>
      <c r="H98" s="12"/>
      <c r="I98" s="12"/>
      <c r="J98" s="12"/>
      <c r="K98" s="12"/>
      <c r="L98" s="12"/>
      <c r="M98" s="12" t="str">
        <f>IFERROR(VLOOKUP(C98,categorieen!$D:$E,2,FALSE),"")</f>
        <v>Getal/Cijfer</v>
      </c>
      <c r="N98" s="12" t="str">
        <f>IFERROR(VLOOKUP(D98,categorieen!$D:$E,2,FALSE),"")</f>
        <v>Plein</v>
      </c>
      <c r="O98" s="12" t="str">
        <f>IFERROR(VLOOKUP(E98,categorieen!$D:$E,2,FALSE),"")</f>
        <v>Kiosk</v>
      </c>
      <c r="P98" s="12" t="str">
        <f>IFERROR(VLOOKUP(F98,categorieen!$D:$E,2,FALSE),"")</f>
        <v>Tilburg</v>
      </c>
      <c r="Q98" s="12" t="str">
        <f>IFERROR(VLOOKUP(G98,categorieen!$D:$E,2,FALSE),"")</f>
        <v/>
      </c>
      <c r="R98" s="12" t="str">
        <f>IFERROR(VLOOKUP(H98,categorieen!$D:$E,2,FALSE),"")</f>
        <v/>
      </c>
      <c r="S98" s="12" t="str">
        <f>IFERROR(VLOOKUP(I98,categorieen!$D:$E,2,FALSE),"")</f>
        <v/>
      </c>
      <c r="T98" s="12" t="str">
        <f>IFERROR(VLOOKUP(J98,categorieen!$D:$E,2,FALSE),"")</f>
        <v/>
      </c>
    </row>
    <row r="99" spans="1:20" x14ac:dyDescent="0.25">
      <c r="A99" s="12" t="s">
        <v>144</v>
      </c>
      <c r="B99" s="12"/>
      <c r="C99" s="12">
        <v>7</v>
      </c>
      <c r="D99" s="12">
        <v>40</v>
      </c>
      <c r="E99" s="12">
        <v>30</v>
      </c>
      <c r="F99" s="12"/>
      <c r="G99" s="12"/>
      <c r="H99" s="12"/>
      <c r="I99" s="12"/>
      <c r="J99" s="12"/>
      <c r="K99" s="12"/>
      <c r="L99" s="12"/>
      <c r="M99" s="12" t="str">
        <f>IFERROR(VLOOKUP(C99,categorieen!$D:$E,2,FALSE),"")</f>
        <v>Alaaf</v>
      </c>
      <c r="N99" s="12" t="str">
        <f>IFERROR(VLOOKUP(D99,categorieen!$D:$E,2,FALSE),"")</f>
        <v>Typisch Brabants (TB)</v>
      </c>
      <c r="O99" s="12" t="str">
        <f>IFERROR(VLOOKUP(E99,categorieen!$D:$E,2,FALSE),"")</f>
        <v>In de volksmond (IDV)</v>
      </c>
      <c r="P99" s="12" t="str">
        <f>IFERROR(VLOOKUP(F99,categorieen!$D:$E,2,FALSE),"")</f>
        <v/>
      </c>
      <c r="Q99" s="12" t="str">
        <f>IFERROR(VLOOKUP(G99,categorieen!$D:$E,2,FALSE),"")</f>
        <v/>
      </c>
      <c r="R99" s="12" t="str">
        <f>IFERROR(VLOOKUP(H99,categorieen!$D:$E,2,FALSE),"")</f>
        <v/>
      </c>
      <c r="S99" s="12" t="str">
        <f>IFERROR(VLOOKUP(I99,categorieen!$D:$E,2,FALSE),"")</f>
        <v/>
      </c>
      <c r="T99" s="12" t="str">
        <f>IFERROR(VLOOKUP(J99,categorieen!$D:$E,2,FALSE),"")</f>
        <v/>
      </c>
    </row>
    <row r="100" spans="1:20" ht="30" x14ac:dyDescent="0.25">
      <c r="A100" s="12" t="s">
        <v>145</v>
      </c>
      <c r="B100" s="13" t="s">
        <v>147</v>
      </c>
      <c r="C100" s="12">
        <v>5</v>
      </c>
      <c r="D100" s="12">
        <v>7</v>
      </c>
      <c r="E100" s="12">
        <v>8</v>
      </c>
      <c r="F100" s="12">
        <v>43</v>
      </c>
      <c r="G100" s="12">
        <v>42</v>
      </c>
      <c r="H100" s="12"/>
      <c r="I100" s="12"/>
      <c r="J100" s="12"/>
      <c r="K100" s="12"/>
      <c r="L100" s="12"/>
      <c r="M100" s="12" t="str">
        <f>IFERROR(VLOOKUP(C100,categorieen!$D:$E,2,FALSE),"")</f>
        <v>Bekende Brabanders</v>
      </c>
      <c r="N100" s="12" t="str">
        <f>IFERROR(VLOOKUP(D100,categorieen!$D:$E,2,FALSE),"")</f>
        <v>Alaaf</v>
      </c>
      <c r="O100" s="12" t="str">
        <f>IFERROR(VLOOKUP(E100,categorieen!$D:$E,2,FALSE),"")</f>
        <v>040 (Eindhoven)</v>
      </c>
      <c r="P100" s="12" t="str">
        <f>IFERROR(VLOOKUP(F100,categorieen!$D:$E,2,FALSE),"")</f>
        <v>Dierlijk</v>
      </c>
      <c r="Q100" s="12" t="str">
        <f>IFERROR(VLOOKUP(G100,categorieen!$D:$E,2,FALSE),"")</f>
        <v>7 letters</v>
      </c>
      <c r="R100" s="12" t="str">
        <f>IFERROR(VLOOKUP(H100,categorieen!$D:$E,2,FALSE),"")</f>
        <v/>
      </c>
      <c r="S100" s="12" t="str">
        <f>IFERROR(VLOOKUP(I100,categorieen!$D:$E,2,FALSE),"")</f>
        <v/>
      </c>
      <c r="T100" s="12" t="str">
        <f>IFERROR(VLOOKUP(J100,categorieen!$D:$E,2,FALSE),"")</f>
        <v/>
      </c>
    </row>
    <row r="101" spans="1:20" x14ac:dyDescent="0.25">
      <c r="A101" s="12" t="s">
        <v>146</v>
      </c>
      <c r="B101" s="12"/>
      <c r="C101" s="12">
        <v>27</v>
      </c>
      <c r="D101" s="12">
        <v>17</v>
      </c>
      <c r="E101" s="12">
        <v>21</v>
      </c>
      <c r="F101" s="12">
        <v>42</v>
      </c>
      <c r="G101" s="12"/>
      <c r="H101" s="12"/>
      <c r="I101" s="12"/>
      <c r="J101" s="12"/>
      <c r="K101" s="12"/>
      <c r="L101" s="12"/>
      <c r="M101" s="12" t="str">
        <f>IFERROR(VLOOKUP(C101,categorieen!$D:$E,2,FALSE),"")</f>
        <v>Eten en Drinken (ED)</v>
      </c>
      <c r="N101" s="12" t="str">
        <f>IFERROR(VLOOKUP(D101,categorieen!$D:$E,2,FALSE),"")</f>
        <v>Met dubbel s</v>
      </c>
      <c r="O101" s="12" t="str">
        <f>IFERROR(VLOOKUP(E101,categorieen!$D:$E,2,FALSE),"")</f>
        <v>West Brabant</v>
      </c>
      <c r="P101" s="12" t="str">
        <f>IFERROR(VLOOKUP(F101,categorieen!$D:$E,2,FALSE),"")</f>
        <v>7 letters</v>
      </c>
      <c r="Q101" s="12" t="str">
        <f>IFERROR(VLOOKUP(G101,categorieen!$D:$E,2,FALSE),"")</f>
        <v/>
      </c>
      <c r="R101" s="12" t="str">
        <f>IFERROR(VLOOKUP(H101,categorieen!$D:$E,2,FALSE),"")</f>
        <v/>
      </c>
      <c r="S101" s="12" t="str">
        <f>IFERROR(VLOOKUP(I101,categorieen!$D:$E,2,FALSE),"")</f>
        <v/>
      </c>
      <c r="T101" s="12" t="str">
        <f>IFERROR(VLOOKUP(J101,categorieen!$D:$E,2,FALSE),"")</f>
        <v/>
      </c>
    </row>
    <row r="102" spans="1:20" x14ac:dyDescent="0.25">
      <c r="A102" s="12" t="s">
        <v>148</v>
      </c>
      <c r="B102" s="12"/>
      <c r="C102" s="12">
        <v>18</v>
      </c>
      <c r="D102" s="12">
        <v>38</v>
      </c>
      <c r="E102" s="12">
        <v>22</v>
      </c>
      <c r="F102" s="12">
        <v>29</v>
      </c>
      <c r="G102" s="12"/>
      <c r="H102" s="12"/>
      <c r="I102" s="12"/>
      <c r="J102" s="12"/>
      <c r="K102" s="12"/>
      <c r="L102" s="12"/>
      <c r="M102" s="12" t="str">
        <f>IFERROR(VLOOKUP(C102,categorieen!$D:$E,2,FALSE),"")</f>
        <v>Willem II</v>
      </c>
      <c r="N102" s="12" t="str">
        <f>IFERROR(VLOOKUP(D102,categorieen!$D:$E,2,FALSE),"")</f>
        <v>Sport</v>
      </c>
      <c r="O102" s="12" t="str">
        <f>IFERROR(VLOOKUP(E102,categorieen!$D:$E,2,FALSE),"")</f>
        <v>3x dezelfde letter</v>
      </c>
      <c r="P102" s="12" t="str">
        <f>IFERROR(VLOOKUP(F102,categorieen!$D:$E,2,FALSE),"")</f>
        <v>Hilvarenbeek</v>
      </c>
      <c r="Q102" s="12" t="str">
        <f>IFERROR(VLOOKUP(G102,categorieen!$D:$E,2,FALSE),"")</f>
        <v/>
      </c>
      <c r="R102" s="12" t="str">
        <f>IFERROR(VLOOKUP(H102,categorieen!$D:$E,2,FALSE),"")</f>
        <v/>
      </c>
      <c r="S102" s="12" t="str">
        <f>IFERROR(VLOOKUP(I102,categorieen!$D:$E,2,FALSE),"")</f>
        <v/>
      </c>
      <c r="T102" s="12" t="str">
        <f>IFERROR(VLOOKUP(J102,categorieen!$D:$E,2,FALSE),"")</f>
        <v/>
      </c>
    </row>
    <row r="103" spans="1:20" x14ac:dyDescent="0.25">
      <c r="A103" s="12" t="s">
        <v>149</v>
      </c>
      <c r="B103" s="12"/>
      <c r="C103" s="12">
        <v>24</v>
      </c>
      <c r="D103" s="12">
        <v>30</v>
      </c>
      <c r="E103" s="12">
        <v>28</v>
      </c>
      <c r="F103" s="12">
        <v>31</v>
      </c>
      <c r="G103" s="12"/>
      <c r="H103" s="12"/>
      <c r="I103" s="12"/>
      <c r="J103" s="12"/>
      <c r="K103" s="12"/>
      <c r="L103" s="12"/>
      <c r="M103" s="12" t="str">
        <f>IFERROR(VLOOKUP(C103,categorieen!$D:$E,2,FALSE),"")</f>
        <v>3 of 4 letters</v>
      </c>
      <c r="N103" s="12" t="str">
        <f>IFERROR(VLOOKUP(D103,categorieen!$D:$E,2,FALSE),"")</f>
        <v>In de volksmond (IDV)</v>
      </c>
      <c r="O103" s="12" t="str">
        <f>IFERROR(VLOOKUP(E103,categorieen!$D:$E,2,FALSE),"")</f>
        <v>Heilige</v>
      </c>
      <c r="P103" s="12" t="str">
        <f>IFERROR(VLOOKUP(F103,categorieen!$D:$E,2,FALSE),"")</f>
        <v>Kleurrijk</v>
      </c>
      <c r="Q103" s="12" t="str">
        <f>IFERROR(VLOOKUP(G103,categorieen!$D:$E,2,FALSE),"")</f>
        <v/>
      </c>
      <c r="R103" s="12" t="str">
        <f>IFERROR(VLOOKUP(H103,categorieen!$D:$E,2,FALSE),"")</f>
        <v/>
      </c>
      <c r="S103" s="12" t="str">
        <f>IFERROR(VLOOKUP(I103,categorieen!$D:$E,2,FALSE),"")</f>
        <v/>
      </c>
      <c r="T103" s="12" t="str">
        <f>IFERROR(VLOOKUP(J103,categorieen!$D:$E,2,FALSE),"")</f>
        <v/>
      </c>
    </row>
    <row r="104" spans="1:20" x14ac:dyDescent="0.25">
      <c r="A104" s="12" t="s">
        <v>150</v>
      </c>
      <c r="B104" s="12"/>
      <c r="C104" s="12">
        <v>11</v>
      </c>
      <c r="D104" s="12">
        <v>22</v>
      </c>
      <c r="E104" s="12">
        <v>20</v>
      </c>
      <c r="F104" s="12">
        <v>31</v>
      </c>
      <c r="G104" s="12"/>
      <c r="H104" s="12"/>
      <c r="I104" s="12"/>
      <c r="J104" s="12"/>
      <c r="K104" s="12"/>
      <c r="L104" s="12"/>
      <c r="M104" s="12" t="str">
        <f>IFERROR(VLOOKUP(C104,categorieen!$D:$E,2,FALSE),"")</f>
        <v>Tilburg</v>
      </c>
      <c r="N104" s="12" t="str">
        <f>IFERROR(VLOOKUP(D104,categorieen!$D:$E,2,FALSE),"")</f>
        <v>3x dezelfde letter</v>
      </c>
      <c r="O104" s="12" t="str">
        <f>IFERROR(VLOOKUP(E104,categorieen!$D:$E,2,FALSE),"")</f>
        <v>Festival</v>
      </c>
      <c r="P104" s="12" t="str">
        <f>IFERROR(VLOOKUP(F104,categorieen!$D:$E,2,FALSE),"")</f>
        <v>Kleurrijk</v>
      </c>
      <c r="Q104" s="12" t="str">
        <f>IFERROR(VLOOKUP(G104,categorieen!$D:$E,2,FALSE),"")</f>
        <v/>
      </c>
      <c r="R104" s="12" t="str">
        <f>IFERROR(VLOOKUP(H104,categorieen!$D:$E,2,FALSE),"")</f>
        <v/>
      </c>
      <c r="S104" s="12" t="str">
        <f>IFERROR(VLOOKUP(I104,categorieen!$D:$E,2,FALSE),"")</f>
        <v/>
      </c>
      <c r="T104" s="12" t="str">
        <f>IFERROR(VLOOKUP(J104,categorieen!$D:$E,2,FALSE),"")</f>
        <v/>
      </c>
    </row>
    <row r="105" spans="1:20" x14ac:dyDescent="0.25">
      <c r="A105" s="12" t="s">
        <v>151</v>
      </c>
      <c r="B105" s="12"/>
      <c r="C105" s="12">
        <v>11</v>
      </c>
      <c r="D105" s="12">
        <v>27</v>
      </c>
      <c r="E105" s="12">
        <v>40</v>
      </c>
      <c r="F105" s="12">
        <v>7</v>
      </c>
      <c r="G105" s="12"/>
      <c r="H105" s="12"/>
      <c r="I105" s="12"/>
      <c r="J105" s="12"/>
      <c r="K105" s="12"/>
      <c r="L105" s="12"/>
      <c r="M105" s="12" t="str">
        <f>IFERROR(VLOOKUP(C105,categorieen!$D:$E,2,FALSE),"")</f>
        <v>Tilburg</v>
      </c>
      <c r="N105" s="12" t="str">
        <f>IFERROR(VLOOKUP(D105,categorieen!$D:$E,2,FALSE),"")</f>
        <v>Eten en Drinken (ED)</v>
      </c>
      <c r="O105" s="12" t="str">
        <f>IFERROR(VLOOKUP(E105,categorieen!$D:$E,2,FALSE),"")</f>
        <v>Typisch Brabants (TB)</v>
      </c>
      <c r="P105" s="12" t="str">
        <f>IFERROR(VLOOKUP(F105,categorieen!$D:$E,2,FALSE),"")</f>
        <v>Alaaf</v>
      </c>
      <c r="Q105" s="12" t="str">
        <f>IFERROR(VLOOKUP(G105,categorieen!$D:$E,2,FALSE),"")</f>
        <v/>
      </c>
      <c r="R105" s="12" t="str">
        <f>IFERROR(VLOOKUP(H105,categorieen!$D:$E,2,FALSE),"")</f>
        <v/>
      </c>
      <c r="S105" s="12" t="str">
        <f>IFERROR(VLOOKUP(I105,categorieen!$D:$E,2,FALSE),"")</f>
        <v/>
      </c>
      <c r="T105" s="12" t="str">
        <f>IFERROR(VLOOKUP(J105,categorieen!$D:$E,2,FALSE),"")</f>
        <v/>
      </c>
    </row>
    <row r="106" spans="1:20" x14ac:dyDescent="0.25">
      <c r="A106" s="12" t="s">
        <v>152</v>
      </c>
      <c r="B106" s="12" t="s">
        <v>153</v>
      </c>
      <c r="C106" s="12">
        <v>5</v>
      </c>
      <c r="D106" s="12">
        <v>38</v>
      </c>
      <c r="E106" s="12">
        <v>41</v>
      </c>
      <c r="F106" s="12">
        <v>22</v>
      </c>
      <c r="G106" s="12"/>
      <c r="H106" s="12"/>
      <c r="I106" s="12"/>
      <c r="J106" s="12"/>
      <c r="K106" s="12"/>
      <c r="L106" s="12"/>
      <c r="M106" s="12" t="str">
        <f>IFERROR(VLOOKUP(C106,categorieen!$D:$E,2,FALSE),"")</f>
        <v>Bekende Brabanders</v>
      </c>
      <c r="N106" s="12" t="str">
        <f>IFERROR(VLOOKUP(D106,categorieen!$D:$E,2,FALSE),"")</f>
        <v>Sport</v>
      </c>
      <c r="O106" s="12" t="str">
        <f>IFERROR(VLOOKUP(E106,categorieen!$D:$E,2,FALSE),"")</f>
        <v>Vught</v>
      </c>
      <c r="P106" s="12" t="str">
        <f>IFERROR(VLOOKUP(F106,categorieen!$D:$E,2,FALSE),"")</f>
        <v>3x dezelfde letter</v>
      </c>
      <c r="Q106" s="12" t="str">
        <f>IFERROR(VLOOKUP(G106,categorieen!$D:$E,2,FALSE),"")</f>
        <v/>
      </c>
      <c r="R106" s="12" t="str">
        <f>IFERROR(VLOOKUP(H106,categorieen!$D:$E,2,FALSE),"")</f>
        <v/>
      </c>
      <c r="S106" s="12" t="str">
        <f>IFERROR(VLOOKUP(I106,categorieen!$D:$E,2,FALSE),"")</f>
        <v/>
      </c>
      <c r="T106" s="12" t="str">
        <f>IFERROR(VLOOKUP(J106,categorieen!$D:$E,2,FALSE),"")</f>
        <v/>
      </c>
    </row>
    <row r="107" spans="1:20" x14ac:dyDescent="0.25">
      <c r="A107" s="12" t="s">
        <v>206</v>
      </c>
      <c r="B107" s="12"/>
      <c r="C107" s="12">
        <v>28</v>
      </c>
      <c r="D107" s="12">
        <v>34</v>
      </c>
      <c r="E107" s="12">
        <v>22</v>
      </c>
      <c r="F107" s="12">
        <v>12</v>
      </c>
      <c r="G107" s="12"/>
      <c r="H107" s="12"/>
      <c r="I107" s="12"/>
      <c r="J107" s="12"/>
      <c r="K107" s="12"/>
      <c r="L107" s="12"/>
      <c r="M107" s="12" t="str">
        <f>IFERROR(VLOOKUP(C107,categorieen!$D:$E,2,FALSE),"")</f>
        <v>Heilige</v>
      </c>
      <c r="N107" s="12" t="str">
        <f>IFERROR(VLOOKUP(D107,categorieen!$D:$E,2,FALSE),"")</f>
        <v>Met 4 Wieken</v>
      </c>
      <c r="O107" s="12" t="str">
        <f>IFERROR(VLOOKUP(E107,categorieen!$D:$E,2,FALSE),"")</f>
        <v>3x dezelfde letter</v>
      </c>
      <c r="P107" s="12" t="str">
        <f>IFERROR(VLOOKUP(F107,categorieen!$D:$E,2,FALSE),"")</f>
        <v>Water</v>
      </c>
      <c r="Q107" s="12" t="str">
        <f>IFERROR(VLOOKUP(G107,categorieen!$D:$E,2,FALSE),"")</f>
        <v/>
      </c>
      <c r="R107" s="12" t="str">
        <f>IFERROR(VLOOKUP(H107,categorieen!$D:$E,2,FALSE),"")</f>
        <v/>
      </c>
      <c r="S107" s="12" t="str">
        <f>IFERROR(VLOOKUP(I107,categorieen!$D:$E,2,FALSE),"")</f>
        <v/>
      </c>
      <c r="T107" s="12" t="str">
        <f>IFERROR(VLOOKUP(J107,categorieen!$D:$E,2,FALSE),"")</f>
        <v/>
      </c>
    </row>
    <row r="108" spans="1:20" x14ac:dyDescent="0.25">
      <c r="A108" s="12" t="s">
        <v>154</v>
      </c>
      <c r="B108" s="12"/>
      <c r="C108" s="12">
        <v>1</v>
      </c>
      <c r="D108" s="12">
        <v>28</v>
      </c>
      <c r="E108" s="12">
        <v>22</v>
      </c>
      <c r="F108" s="12">
        <v>34</v>
      </c>
      <c r="G108" s="12"/>
      <c r="H108" s="12"/>
      <c r="I108" s="12"/>
      <c r="J108" s="12"/>
      <c r="K108" s="12"/>
      <c r="L108" s="12"/>
      <c r="M108" s="12" t="str">
        <f>IFERROR(VLOOKUP(C108,categorieen!$D:$E,2,FALSE),"")</f>
        <v>Eerste- en Eindletter hetzelfde</v>
      </c>
      <c r="N108" s="12" t="str">
        <f>IFERROR(VLOOKUP(D108,categorieen!$D:$E,2,FALSE),"")</f>
        <v>Heilige</v>
      </c>
      <c r="O108" s="12" t="str">
        <f>IFERROR(VLOOKUP(E108,categorieen!$D:$E,2,FALSE),"")</f>
        <v>3x dezelfde letter</v>
      </c>
      <c r="P108" s="12" t="str">
        <f>IFERROR(VLOOKUP(F108,categorieen!$D:$E,2,FALSE),"")</f>
        <v>Met 4 Wieken</v>
      </c>
      <c r="Q108" s="12" t="str">
        <f>IFERROR(VLOOKUP(G108,categorieen!$D:$E,2,FALSE),"")</f>
        <v/>
      </c>
      <c r="R108" s="12" t="str">
        <f>IFERROR(VLOOKUP(H108,categorieen!$D:$E,2,FALSE),"")</f>
        <v/>
      </c>
      <c r="S108" s="12" t="str">
        <f>IFERROR(VLOOKUP(I108,categorieen!$D:$E,2,FALSE),"")</f>
        <v/>
      </c>
      <c r="T108" s="12" t="str">
        <f>IFERROR(VLOOKUP(J108,categorieen!$D:$E,2,FALSE),"")</f>
        <v/>
      </c>
    </row>
    <row r="109" spans="1:20" x14ac:dyDescent="0.25">
      <c r="A109" s="12" t="s">
        <v>155</v>
      </c>
      <c r="B109" s="12"/>
      <c r="C109" s="12">
        <v>42</v>
      </c>
      <c r="D109" s="12">
        <v>28</v>
      </c>
      <c r="E109" s="12">
        <v>37</v>
      </c>
      <c r="F109" s="12">
        <v>34</v>
      </c>
      <c r="G109" s="12">
        <v>2</v>
      </c>
      <c r="H109" s="12"/>
      <c r="I109" s="12"/>
      <c r="J109" s="12"/>
      <c r="K109" s="12"/>
      <c r="L109" s="12"/>
      <c r="M109" s="12" t="str">
        <f>IFERROR(VLOOKUP(C109,categorieen!$D:$E,2,FALSE),"")</f>
        <v>7 letters</v>
      </c>
      <c r="N109" s="12" t="str">
        <f>IFERROR(VLOOKUP(D109,categorieen!$D:$E,2,FALSE),"")</f>
        <v>Heilige</v>
      </c>
      <c r="O109" s="12" t="str">
        <f>IFERROR(VLOOKUP(E109,categorieen!$D:$E,2,FALSE),"")</f>
        <v>s Hertogenbosch (DB)</v>
      </c>
      <c r="P109" s="12" t="str">
        <f>IFERROR(VLOOKUP(F109,categorieen!$D:$E,2,FALSE),"")</f>
        <v>Met 4 Wieken</v>
      </c>
      <c r="Q109" s="12" t="str">
        <f>IFERROR(VLOOKUP(G109,categorieen!$D:$E,2,FALSE),"")</f>
        <v>(stand)beeld / (Rijks)monument</v>
      </c>
      <c r="R109" s="12" t="str">
        <f>IFERROR(VLOOKUP(H109,categorieen!$D:$E,2,FALSE),"")</f>
        <v/>
      </c>
      <c r="S109" s="12" t="str">
        <f>IFERROR(VLOOKUP(I109,categorieen!$D:$E,2,FALSE),"")</f>
        <v/>
      </c>
      <c r="T109" s="12" t="str">
        <f>IFERROR(VLOOKUP(J109,categorieen!$D:$E,2,FALSE),"")</f>
        <v/>
      </c>
    </row>
    <row r="110" spans="1:20" x14ac:dyDescent="0.25">
      <c r="A110" s="12" t="s">
        <v>156</v>
      </c>
      <c r="B110" s="12"/>
      <c r="C110" s="12">
        <v>28</v>
      </c>
      <c r="D110" s="12">
        <v>33</v>
      </c>
      <c r="E110" s="12">
        <v>1</v>
      </c>
      <c r="F110" s="12">
        <v>27</v>
      </c>
      <c r="G110" s="12">
        <v>2</v>
      </c>
      <c r="H110" s="12">
        <v>29</v>
      </c>
      <c r="I110" s="12">
        <v>36</v>
      </c>
      <c r="J110" s="12"/>
      <c r="K110" s="12"/>
      <c r="L110" s="12"/>
      <c r="M110" s="12" t="str">
        <f>IFERROR(VLOOKUP(C110,categorieen!$D:$E,2,FALSE),"")</f>
        <v>Heilige</v>
      </c>
      <c r="N110" s="12" t="str">
        <f>IFERROR(VLOOKUP(D110,categorieen!$D:$E,2,FALSE),"")</f>
        <v>076 (Breda)</v>
      </c>
      <c r="O110" s="12" t="str">
        <f>IFERROR(VLOOKUP(E110,categorieen!$D:$E,2,FALSE),"")</f>
        <v>Eerste- en Eindletter hetzelfde</v>
      </c>
      <c r="P110" s="12" t="str">
        <f>IFERROR(VLOOKUP(F110,categorieen!$D:$E,2,FALSE),"")</f>
        <v>Eten en Drinken (ED)</v>
      </c>
      <c r="Q110" s="12" t="str">
        <f>IFERROR(VLOOKUP(G110,categorieen!$D:$E,2,FALSE),"")</f>
        <v>(stand)beeld / (Rijks)monument</v>
      </c>
      <c r="R110" s="12" t="str">
        <f>IFERROR(VLOOKUP(H110,categorieen!$D:$E,2,FALSE),"")</f>
        <v>Hilvarenbeek</v>
      </c>
      <c r="S110" s="12" t="str">
        <f>IFERROR(VLOOKUP(I110,categorieen!$D:$E,2,FALSE),"")</f>
        <v>Plein</v>
      </c>
      <c r="T110" s="12" t="str">
        <f>IFERROR(VLOOKUP(J110,categorieen!$D:$E,2,FALSE),"")</f>
        <v/>
      </c>
    </row>
    <row r="111" spans="1:20" x14ac:dyDescent="0.25">
      <c r="A111" s="11" t="s">
        <v>157</v>
      </c>
      <c r="B111" s="12"/>
      <c r="C111" s="11">
        <v>13</v>
      </c>
      <c r="D111" s="11">
        <v>22</v>
      </c>
      <c r="E111" s="12">
        <v>33</v>
      </c>
      <c r="F111" s="12">
        <v>28</v>
      </c>
      <c r="G111" s="12">
        <v>30</v>
      </c>
      <c r="H111" s="12">
        <v>1</v>
      </c>
      <c r="I111" s="12">
        <v>2</v>
      </c>
      <c r="J111" s="12"/>
      <c r="K111" s="12"/>
      <c r="L111" s="12"/>
      <c r="M111" s="12" t="str">
        <f>IFERROR(VLOOKUP(C111,categorieen!$D:$E,2,FALSE),"")</f>
        <v>Met dubbel T</v>
      </c>
      <c r="N111" s="12" t="str">
        <f>IFERROR(VLOOKUP(D111,categorieen!$D:$E,2,FALSE),"")</f>
        <v>3x dezelfde letter</v>
      </c>
      <c r="O111" s="12" t="str">
        <f>IFERROR(VLOOKUP(E111,categorieen!$D:$E,2,FALSE),"")</f>
        <v>076 (Breda)</v>
      </c>
      <c r="P111" s="12" t="str">
        <f>IFERROR(VLOOKUP(F111,categorieen!$D:$E,2,FALSE),"")</f>
        <v>Heilige</v>
      </c>
      <c r="Q111" s="12" t="str">
        <f>IFERROR(VLOOKUP(G111,categorieen!$D:$E,2,FALSE),"")</f>
        <v>In de volksmond (IDV)</v>
      </c>
      <c r="R111" s="12" t="str">
        <f>IFERROR(VLOOKUP(H111,categorieen!$D:$E,2,FALSE),"")</f>
        <v>Eerste- en Eindletter hetzelfde</v>
      </c>
      <c r="S111" s="12" t="str">
        <f>IFERROR(VLOOKUP(I111,categorieen!$D:$E,2,FALSE),"")</f>
        <v>(stand)beeld / (Rijks)monument</v>
      </c>
      <c r="T111" s="12" t="str">
        <f>IFERROR(VLOOKUP(J111,categorieen!$D:$E,2,FALSE),"")</f>
        <v/>
      </c>
    </row>
    <row r="112" spans="1:20" x14ac:dyDescent="0.25">
      <c r="A112" s="12" t="s">
        <v>158</v>
      </c>
      <c r="B112" s="12"/>
      <c r="C112" s="12">
        <v>8</v>
      </c>
      <c r="D112" s="12">
        <v>1</v>
      </c>
      <c r="E112" s="12">
        <v>22</v>
      </c>
      <c r="F112" s="12">
        <v>30</v>
      </c>
      <c r="G112" s="12">
        <v>40</v>
      </c>
      <c r="H112" s="12"/>
      <c r="I112" s="12"/>
      <c r="J112" s="12"/>
      <c r="K112" s="12"/>
      <c r="L112" s="12"/>
      <c r="M112" s="12" t="str">
        <f>IFERROR(VLOOKUP(C112,categorieen!$D:$E,2,FALSE),"")</f>
        <v>040 (Eindhoven)</v>
      </c>
      <c r="N112" s="12" t="str">
        <f>IFERROR(VLOOKUP(D112,categorieen!$D:$E,2,FALSE),"")</f>
        <v>Eerste- en Eindletter hetzelfde</v>
      </c>
      <c r="O112" s="12" t="str">
        <f>IFERROR(VLOOKUP(E112,categorieen!$D:$E,2,FALSE),"")</f>
        <v>3x dezelfde letter</v>
      </c>
      <c r="P112" s="12" t="str">
        <f>IFERROR(VLOOKUP(F112,categorieen!$D:$E,2,FALSE),"")</f>
        <v>In de volksmond (IDV)</v>
      </c>
      <c r="Q112" s="12" t="str">
        <f>IFERROR(VLOOKUP(G112,categorieen!$D:$E,2,FALSE),"")</f>
        <v>Typisch Brabants (TB)</v>
      </c>
      <c r="R112" s="12" t="str">
        <f>IFERROR(VLOOKUP(H112,categorieen!$D:$E,2,FALSE),"")</f>
        <v/>
      </c>
      <c r="S112" s="12" t="str">
        <f>IFERROR(VLOOKUP(I112,categorieen!$D:$E,2,FALSE),"")</f>
        <v/>
      </c>
      <c r="T112" s="12" t="str">
        <f>IFERROR(VLOOKUP(J112,categorieen!$D:$E,2,FALSE),"")</f>
        <v/>
      </c>
    </row>
    <row r="113" spans="1:20" x14ac:dyDescent="0.25">
      <c r="A113" s="12" t="s">
        <v>159</v>
      </c>
      <c r="B113" s="12"/>
      <c r="C113" s="12">
        <v>30</v>
      </c>
      <c r="D113" s="12">
        <v>26</v>
      </c>
      <c r="E113" s="12">
        <v>25</v>
      </c>
      <c r="F113" s="12">
        <v>42</v>
      </c>
      <c r="G113" s="12">
        <v>40</v>
      </c>
      <c r="H113" s="12"/>
      <c r="I113" s="12"/>
      <c r="J113" s="12"/>
      <c r="K113" s="12"/>
      <c r="L113" s="12"/>
      <c r="M113" s="12" t="str">
        <f>IFERROR(VLOOKUP(C113,categorieen!$D:$E,2,FALSE),"")</f>
        <v>In de volksmond (IDV)</v>
      </c>
      <c r="N113" s="12" t="str">
        <f>IFERROR(VLOOKUP(D113,categorieen!$D:$E,2,FALSE),"")</f>
        <v>Eindigt op el</v>
      </c>
      <c r="O113" s="12" t="str">
        <f>IFERROR(VLOOKUP(E113,categorieen!$D:$E,2,FALSE),"")</f>
        <v>1 van de 8</v>
      </c>
      <c r="P113" s="12" t="str">
        <f>IFERROR(VLOOKUP(F113,categorieen!$D:$E,2,FALSE),"")</f>
        <v>7 letters</v>
      </c>
      <c r="Q113" s="12" t="str">
        <f>IFERROR(VLOOKUP(G113,categorieen!$D:$E,2,FALSE),"")</f>
        <v>Typisch Brabants (TB)</v>
      </c>
      <c r="R113" s="12" t="str">
        <f>IFERROR(VLOOKUP(H113,categorieen!$D:$E,2,FALSE),"")</f>
        <v/>
      </c>
      <c r="S113" s="12" t="str">
        <f>IFERROR(VLOOKUP(I113,categorieen!$D:$E,2,FALSE),"")</f>
        <v/>
      </c>
      <c r="T113" s="12" t="str">
        <f>IFERROR(VLOOKUP(J113,categorieen!$D:$E,2,FALSE),"")</f>
        <v/>
      </c>
    </row>
    <row r="114" spans="1:20" x14ac:dyDescent="0.25">
      <c r="A114" s="18" t="s">
        <v>186</v>
      </c>
      <c r="B114" s="12"/>
      <c r="C114" s="11">
        <v>1</v>
      </c>
      <c r="D114" s="12">
        <v>30</v>
      </c>
      <c r="E114" s="12">
        <v>40</v>
      </c>
      <c r="F114" s="24">
        <v>7</v>
      </c>
      <c r="G114" s="12"/>
      <c r="H114" s="12"/>
      <c r="I114" s="12"/>
      <c r="J114" s="12"/>
      <c r="K114" s="12"/>
      <c r="L114" s="12"/>
      <c r="M114" s="12" t="str">
        <f>IFERROR(VLOOKUP(C114,categorieen!$D:$E,2,FALSE),"")</f>
        <v>Eerste- en Eindletter hetzelfde</v>
      </c>
      <c r="N114" s="12" t="str">
        <f>IFERROR(VLOOKUP(D114,categorieen!$D:$E,2,FALSE),"")</f>
        <v>In de volksmond (IDV)</v>
      </c>
      <c r="O114" s="12" t="str">
        <f>IFERROR(VLOOKUP(E114,categorieen!$D:$E,2,FALSE),"")</f>
        <v>Typisch Brabants (TB)</v>
      </c>
      <c r="P114" s="12" t="str">
        <f>IFERROR(VLOOKUP(F114,categorieen!$D:$E,2,FALSE),"")</f>
        <v>Alaaf</v>
      </c>
      <c r="Q114" s="12" t="str">
        <f>IFERROR(VLOOKUP(G114,categorieen!$D:$E,2,FALSE),"")</f>
        <v/>
      </c>
      <c r="R114" s="12" t="str">
        <f>IFERROR(VLOOKUP(H114,categorieen!$D:$E,2,FALSE),"")</f>
        <v/>
      </c>
      <c r="S114" s="12" t="str">
        <f>IFERROR(VLOOKUP(I114,categorieen!$D:$E,2,FALSE),"")</f>
        <v/>
      </c>
      <c r="T114" s="12" t="str">
        <f>IFERROR(VLOOKUP(J114,categorieen!$D:$E,2,FALSE),"")</f>
        <v/>
      </c>
    </row>
    <row r="115" spans="1:20" x14ac:dyDescent="0.25">
      <c r="A115" s="12" t="s">
        <v>160</v>
      </c>
      <c r="B115" s="12"/>
      <c r="C115" s="12">
        <v>21</v>
      </c>
      <c r="D115" s="12">
        <v>28</v>
      </c>
      <c r="E115" s="12">
        <v>36</v>
      </c>
      <c r="F115" s="12"/>
      <c r="G115" s="12"/>
      <c r="H115" s="12"/>
      <c r="I115" s="12"/>
      <c r="J115" s="12"/>
      <c r="K115" s="12"/>
      <c r="L115" s="12"/>
      <c r="M115" s="12" t="str">
        <f>IFERROR(VLOOKUP(C115,categorieen!$D:$E,2,FALSE),"")</f>
        <v>West Brabant</v>
      </c>
      <c r="N115" s="12" t="str">
        <f>IFERROR(VLOOKUP(D115,categorieen!$D:$E,2,FALSE),"")</f>
        <v>Heilige</v>
      </c>
      <c r="O115" s="12" t="str">
        <f>IFERROR(VLOOKUP(E115,categorieen!$D:$E,2,FALSE),"")</f>
        <v>Plein</v>
      </c>
      <c r="P115" s="12" t="str">
        <f>IFERROR(VLOOKUP(F115,categorieen!$D:$E,2,FALSE),"")</f>
        <v/>
      </c>
      <c r="Q115" s="12" t="str">
        <f>IFERROR(VLOOKUP(G115,categorieen!$D:$E,2,FALSE),"")</f>
        <v/>
      </c>
      <c r="R115" s="12" t="str">
        <f>IFERROR(VLOOKUP(H115,categorieen!$D:$E,2,FALSE),"")</f>
        <v/>
      </c>
      <c r="S115" s="12" t="str">
        <f>IFERROR(VLOOKUP(I115,categorieen!$D:$E,2,FALSE),"")</f>
        <v/>
      </c>
      <c r="T115" s="12" t="str">
        <f>IFERROR(VLOOKUP(J115,categorieen!$D:$E,2,FALSE),"")</f>
        <v/>
      </c>
    </row>
    <row r="116" spans="1:20" x14ac:dyDescent="0.25">
      <c r="A116" s="20" t="s">
        <v>161</v>
      </c>
      <c r="B116" s="12"/>
      <c r="C116" s="12">
        <v>12</v>
      </c>
      <c r="D116" s="12">
        <v>22</v>
      </c>
      <c r="E116" s="12">
        <v>31</v>
      </c>
      <c r="F116" s="12">
        <v>3</v>
      </c>
      <c r="G116" s="12">
        <v>11</v>
      </c>
      <c r="H116" s="12"/>
      <c r="I116" s="12"/>
      <c r="J116" s="12"/>
      <c r="K116" s="12"/>
      <c r="L116" s="12"/>
      <c r="M116" s="12" t="str">
        <f>IFERROR(VLOOKUP(C116,categorieen!$D:$E,2,FALSE),"")</f>
        <v>Water</v>
      </c>
      <c r="N116" s="12" t="str">
        <f>IFERROR(VLOOKUP(D116,categorieen!$D:$E,2,FALSE),"")</f>
        <v>3x dezelfde letter</v>
      </c>
      <c r="O116" s="12" t="str">
        <f>IFERROR(VLOOKUP(E116,categorieen!$D:$E,2,FALSE),"")</f>
        <v>Kleurrijk</v>
      </c>
      <c r="P116" s="12" t="str">
        <f>IFERROR(VLOOKUP(F116,categorieen!$D:$E,2,FALSE),"")</f>
        <v>Begint met een B</v>
      </c>
      <c r="Q116" s="12" t="str">
        <f>IFERROR(VLOOKUP(G116,categorieen!$D:$E,2,FALSE),"")</f>
        <v>Tilburg</v>
      </c>
      <c r="R116" s="12" t="str">
        <f>IFERROR(VLOOKUP(H116,categorieen!$D:$E,2,FALSE),"")</f>
        <v/>
      </c>
      <c r="S116" s="12" t="str">
        <f>IFERROR(VLOOKUP(I116,categorieen!$D:$E,2,FALSE),"")</f>
        <v/>
      </c>
      <c r="T116" s="12" t="str">
        <f>IFERROR(VLOOKUP(J116,categorieen!$D:$E,2,FALSE),"")</f>
        <v/>
      </c>
    </row>
    <row r="117" spans="1:20" x14ac:dyDescent="0.25">
      <c r="A117" s="20" t="s">
        <v>162</v>
      </c>
      <c r="B117" s="12"/>
      <c r="C117" s="12">
        <v>36</v>
      </c>
      <c r="D117" s="12">
        <v>7</v>
      </c>
      <c r="E117" s="12">
        <v>11</v>
      </c>
      <c r="F117" s="12">
        <v>40</v>
      </c>
      <c r="G117" s="12">
        <v>27</v>
      </c>
      <c r="H117" s="12"/>
      <c r="I117" s="12"/>
      <c r="J117" s="12"/>
      <c r="K117" s="12"/>
      <c r="L117" s="12"/>
      <c r="M117" s="12" t="str">
        <f>IFERROR(VLOOKUP(C117,categorieen!$D:$E,2,FALSE),"")</f>
        <v>Plein</v>
      </c>
      <c r="N117" s="12" t="str">
        <f>IFERROR(VLOOKUP(D117,categorieen!$D:$E,2,FALSE),"")</f>
        <v>Alaaf</v>
      </c>
      <c r="O117" s="12" t="str">
        <f>IFERROR(VLOOKUP(E117,categorieen!$D:$E,2,FALSE),"")</f>
        <v>Tilburg</v>
      </c>
      <c r="P117" s="12" t="str">
        <f>IFERROR(VLOOKUP(F117,categorieen!$D:$E,2,FALSE),"")</f>
        <v>Typisch Brabants (TB)</v>
      </c>
      <c r="Q117" s="12" t="str">
        <f>IFERROR(VLOOKUP(G117,categorieen!$D:$E,2,FALSE),"")</f>
        <v>Eten en Drinken (ED)</v>
      </c>
      <c r="R117" s="12" t="str">
        <f>IFERROR(VLOOKUP(H117,categorieen!$D:$E,2,FALSE),"")</f>
        <v/>
      </c>
      <c r="S117" s="12" t="str">
        <f>IFERROR(VLOOKUP(I117,categorieen!$D:$E,2,FALSE),"")</f>
        <v/>
      </c>
      <c r="T117" s="12" t="str">
        <f>IFERROR(VLOOKUP(J117,categorieen!$D:$E,2,FALSE),"")</f>
        <v/>
      </c>
    </row>
    <row r="118" spans="1:20" x14ac:dyDescent="0.25">
      <c r="A118" s="20" t="s">
        <v>163</v>
      </c>
      <c r="B118" s="12"/>
      <c r="C118" s="12">
        <v>16</v>
      </c>
      <c r="D118" s="12">
        <v>21</v>
      </c>
      <c r="E118" s="12">
        <v>12</v>
      </c>
      <c r="F118" s="12">
        <v>38</v>
      </c>
      <c r="G118" s="12">
        <v>11</v>
      </c>
      <c r="H118" s="12"/>
      <c r="I118" s="12"/>
      <c r="J118" s="12"/>
      <c r="K118" s="12"/>
      <c r="L118" s="12"/>
      <c r="M118" s="12" t="str">
        <f>IFERROR(VLOOKUP(C118,categorieen!$D:$E,2,FALSE),"")</f>
        <v>Buurtschap</v>
      </c>
      <c r="N118" s="12" t="str">
        <f>IFERROR(VLOOKUP(D118,categorieen!$D:$E,2,FALSE),"")</f>
        <v>West Brabant</v>
      </c>
      <c r="O118" s="12" t="str">
        <f>IFERROR(VLOOKUP(E118,categorieen!$D:$E,2,FALSE),"")</f>
        <v>Water</v>
      </c>
      <c r="P118" s="12" t="str">
        <f>IFERROR(VLOOKUP(F118,categorieen!$D:$E,2,FALSE),"")</f>
        <v>Sport</v>
      </c>
      <c r="Q118" s="12" t="str">
        <f>IFERROR(VLOOKUP(G118,categorieen!$D:$E,2,FALSE),"")</f>
        <v>Tilburg</v>
      </c>
      <c r="R118" s="12" t="str">
        <f>IFERROR(VLOOKUP(H118,categorieen!$D:$E,2,FALSE),"")</f>
        <v/>
      </c>
      <c r="S118" s="12" t="str">
        <f>IFERROR(VLOOKUP(I118,categorieen!$D:$E,2,FALSE),"")</f>
        <v/>
      </c>
      <c r="T118" s="12" t="str">
        <f>IFERROR(VLOOKUP(J118,categorieen!$D:$E,2,FALSE),"")</f>
        <v/>
      </c>
    </row>
    <row r="119" spans="1:20" x14ac:dyDescent="0.25">
      <c r="A119" s="12" t="s">
        <v>164</v>
      </c>
      <c r="B119" s="12"/>
      <c r="C119" s="12">
        <v>42</v>
      </c>
      <c r="D119" s="12">
        <v>5</v>
      </c>
      <c r="E119" s="12">
        <v>26</v>
      </c>
      <c r="F119" s="12">
        <v>18</v>
      </c>
      <c r="G119" s="12">
        <v>38</v>
      </c>
      <c r="H119" s="12">
        <v>31</v>
      </c>
      <c r="I119" s="12"/>
      <c r="J119" s="12"/>
      <c r="K119" s="12"/>
      <c r="L119" s="12"/>
      <c r="M119" s="12" t="str">
        <f>IFERROR(VLOOKUP(C119,categorieen!$D:$E,2,FALSE),"")</f>
        <v>7 letters</v>
      </c>
      <c r="N119" s="12" t="str">
        <f>IFERROR(VLOOKUP(D119,categorieen!$D:$E,2,FALSE),"")</f>
        <v>Bekende Brabanders</v>
      </c>
      <c r="O119" s="12" t="str">
        <f>IFERROR(VLOOKUP(E119,categorieen!$D:$E,2,FALSE),"")</f>
        <v>Eindigt op el</v>
      </c>
      <c r="P119" s="12" t="str">
        <f>IFERROR(VLOOKUP(F119,categorieen!$D:$E,2,FALSE),"")</f>
        <v>Willem II</v>
      </c>
      <c r="Q119" s="12" t="str">
        <f>IFERROR(VLOOKUP(G119,categorieen!$D:$E,2,FALSE),"")</f>
        <v>Sport</v>
      </c>
      <c r="R119" s="12" t="str">
        <f>IFERROR(VLOOKUP(H119,categorieen!$D:$E,2,FALSE),"")</f>
        <v>Kleurrijk</v>
      </c>
      <c r="S119" s="12" t="str">
        <f>IFERROR(VLOOKUP(I119,categorieen!$D:$E,2,FALSE),"")</f>
        <v/>
      </c>
      <c r="T119" s="12" t="str">
        <f>IFERROR(VLOOKUP(J119,categorieen!$D:$E,2,FALSE),"")</f>
        <v/>
      </c>
    </row>
    <row r="120" spans="1:20" x14ac:dyDescent="0.25">
      <c r="A120" s="12" t="s">
        <v>165</v>
      </c>
      <c r="B120" s="12"/>
      <c r="C120" s="12">
        <v>17</v>
      </c>
      <c r="D120" s="12">
        <v>26</v>
      </c>
      <c r="E120" s="12">
        <v>27</v>
      </c>
      <c r="F120" s="12">
        <v>5</v>
      </c>
      <c r="G120" s="12">
        <v>11</v>
      </c>
      <c r="H120" s="12">
        <v>38</v>
      </c>
      <c r="I120" s="12">
        <v>2</v>
      </c>
      <c r="J120" s="12">
        <v>18</v>
      </c>
      <c r="K120" s="12">
        <v>30</v>
      </c>
      <c r="L120" s="12"/>
      <c r="M120" s="12" t="str">
        <f>IFERROR(VLOOKUP(C120,categorieen!$D:$E,2,FALSE),"")</f>
        <v>Met dubbel s</v>
      </c>
      <c r="N120" s="12" t="str">
        <f>IFERROR(VLOOKUP(D120,categorieen!$D:$E,2,FALSE),"")</f>
        <v>Eindigt op el</v>
      </c>
      <c r="O120" s="12" t="str">
        <f>IFERROR(VLOOKUP(E120,categorieen!$D:$E,2,FALSE),"")</f>
        <v>Eten en Drinken (ED)</v>
      </c>
      <c r="P120" s="12" t="str">
        <f>IFERROR(VLOOKUP(F120,categorieen!$D:$E,2,FALSE),"")</f>
        <v>Bekende Brabanders</v>
      </c>
      <c r="Q120" s="12" t="str">
        <f>IFERROR(VLOOKUP(G120,categorieen!$D:$E,2,FALSE),"")</f>
        <v>Tilburg</v>
      </c>
      <c r="R120" s="12" t="str">
        <f>IFERROR(VLOOKUP(H120,categorieen!$D:$E,2,FALSE),"")</f>
        <v>Sport</v>
      </c>
      <c r="S120" s="12" t="str">
        <f>IFERROR(VLOOKUP(I120,categorieen!$D:$E,2,FALSE),"")</f>
        <v>(stand)beeld / (Rijks)monument</v>
      </c>
      <c r="T120" s="12" t="str">
        <f>IFERROR(VLOOKUP(J120,categorieen!$D:$E,2,FALSE),"")</f>
        <v>Willem II</v>
      </c>
    </row>
    <row r="121" spans="1:20" x14ac:dyDescent="0.25">
      <c r="A121" s="12" t="s">
        <v>166</v>
      </c>
      <c r="B121" s="12"/>
      <c r="C121" s="12">
        <v>35</v>
      </c>
      <c r="D121" s="12">
        <v>19</v>
      </c>
      <c r="E121" s="12">
        <v>27</v>
      </c>
      <c r="F121" s="12">
        <v>30</v>
      </c>
      <c r="G121" s="12">
        <v>43</v>
      </c>
      <c r="H121" s="12"/>
      <c r="I121" s="12"/>
      <c r="J121" s="12"/>
      <c r="K121" s="12"/>
      <c r="L121" s="12"/>
      <c r="M121" s="12" t="str">
        <f>IFERROR(VLOOKUP(C121,categorieen!$D:$E,2,FALSE),"")</f>
        <v>Parel in het Groen (PITG)</v>
      </c>
      <c r="N121" s="12" t="str">
        <f>IFERROR(VLOOKUP(D121,categorieen!$D:$E,2,FALSE),"")</f>
        <v>Natuur</v>
      </c>
      <c r="O121" s="12" t="str">
        <f>IFERROR(VLOOKUP(E121,categorieen!$D:$E,2,FALSE),"")</f>
        <v>Eten en Drinken (ED)</v>
      </c>
      <c r="P121" s="12" t="str">
        <f>IFERROR(VLOOKUP(F121,categorieen!$D:$E,2,FALSE),"")</f>
        <v>In de volksmond (IDV)</v>
      </c>
      <c r="Q121" s="12" t="str">
        <f>IFERROR(VLOOKUP(G121,categorieen!$D:$E,2,FALSE),"")</f>
        <v>Dierlijk</v>
      </c>
      <c r="R121" s="12" t="str">
        <f>IFERROR(VLOOKUP(H121,categorieen!$D:$E,2,FALSE),"")</f>
        <v/>
      </c>
      <c r="S121" s="12" t="str">
        <f>IFERROR(VLOOKUP(I121,categorieen!$D:$E,2,FALSE),"")</f>
        <v/>
      </c>
      <c r="T121" s="12" t="str">
        <f>IFERROR(VLOOKUP(J121,categorieen!$D:$E,2,FALSE),"")</f>
        <v/>
      </c>
    </row>
    <row r="122" spans="1:20" x14ac:dyDescent="0.25">
      <c r="A122" s="12" t="s">
        <v>167</v>
      </c>
      <c r="B122" s="12"/>
      <c r="C122" s="12">
        <v>39</v>
      </c>
      <c r="D122" s="12">
        <v>42</v>
      </c>
      <c r="E122" s="12"/>
      <c r="F122" s="12"/>
      <c r="G122" s="12"/>
      <c r="H122" s="12"/>
      <c r="I122" s="12"/>
      <c r="J122" s="12"/>
      <c r="K122" s="12"/>
      <c r="L122" s="12"/>
      <c r="M122" s="12" t="str">
        <f>IFERROR(VLOOKUP(C122,categorieen!$D:$E,2,FALSE),"")</f>
        <v>Theater</v>
      </c>
      <c r="N122" s="12" t="str">
        <f>IFERROR(VLOOKUP(D122,categorieen!$D:$E,2,FALSE),"")</f>
        <v>7 letters</v>
      </c>
      <c r="O122" s="12" t="str">
        <f>IFERROR(VLOOKUP(E122,categorieen!$D:$E,2,FALSE),"")</f>
        <v/>
      </c>
      <c r="P122" s="12" t="str">
        <f>IFERROR(VLOOKUP(F122,categorieen!$D:$E,2,FALSE),"")</f>
        <v/>
      </c>
      <c r="Q122" s="12" t="str">
        <f>IFERROR(VLOOKUP(G122,categorieen!$D:$E,2,FALSE),"")</f>
        <v/>
      </c>
      <c r="R122" s="12" t="str">
        <f>IFERROR(VLOOKUP(H122,categorieen!$D:$E,2,FALSE),"")</f>
        <v/>
      </c>
      <c r="S122" s="12" t="str">
        <f>IFERROR(VLOOKUP(I122,categorieen!$D:$E,2,FALSE),"")</f>
        <v/>
      </c>
      <c r="T122" s="12" t="str">
        <f>IFERROR(VLOOKUP(J122,categorieen!$D:$E,2,FALSE),"")</f>
        <v/>
      </c>
    </row>
    <row r="123" spans="1:20" x14ac:dyDescent="0.25">
      <c r="A123" s="11" t="s">
        <v>168</v>
      </c>
      <c r="B123" s="12"/>
      <c r="C123" s="12">
        <v>16</v>
      </c>
      <c r="D123" s="12">
        <v>15</v>
      </c>
      <c r="E123" s="12">
        <v>11</v>
      </c>
      <c r="F123" s="12"/>
      <c r="G123" s="12"/>
      <c r="H123" s="12"/>
      <c r="I123" s="12"/>
      <c r="J123" s="12"/>
      <c r="K123" s="12"/>
      <c r="L123" s="12"/>
      <c r="M123" s="12" t="str">
        <f>IFERROR(VLOOKUP(C123,categorieen!$D:$E,2,FALSE),"")</f>
        <v>Buurtschap</v>
      </c>
      <c r="N123" s="12" t="str">
        <f>IFERROR(VLOOKUP(D123,categorieen!$D:$E,2,FALSE),"")</f>
        <v>Getal/Cijfer</v>
      </c>
      <c r="O123" s="12" t="str">
        <f>IFERROR(VLOOKUP(E123,categorieen!$D:$E,2,FALSE),"")</f>
        <v>Tilburg</v>
      </c>
      <c r="P123" s="12" t="str">
        <f>IFERROR(VLOOKUP(F123,categorieen!$D:$E,2,FALSE),"")</f>
        <v/>
      </c>
      <c r="Q123" s="12" t="str">
        <f>IFERROR(VLOOKUP(G123,categorieen!$D:$E,2,FALSE),"")</f>
        <v/>
      </c>
      <c r="R123" s="12" t="str">
        <f>IFERROR(VLOOKUP(H123,categorieen!$D:$E,2,FALSE),"")</f>
        <v/>
      </c>
      <c r="S123" s="12" t="str">
        <f>IFERROR(VLOOKUP(I123,categorieen!$D:$E,2,FALSE),"")</f>
        <v/>
      </c>
      <c r="T123" s="12" t="str">
        <f>IFERROR(VLOOKUP(J123,categorieen!$D:$E,2,FALSE),"")</f>
        <v/>
      </c>
    </row>
    <row r="124" spans="1:20" x14ac:dyDescent="0.25">
      <c r="A124" s="12" t="s">
        <v>169</v>
      </c>
      <c r="B124" s="12"/>
      <c r="C124" s="12">
        <v>10</v>
      </c>
      <c r="D124" s="12">
        <v>11</v>
      </c>
      <c r="E124" s="12"/>
      <c r="F124" s="12"/>
      <c r="G124" s="12"/>
      <c r="H124" s="12"/>
      <c r="I124" s="12"/>
      <c r="J124" s="12"/>
      <c r="K124" s="12"/>
      <c r="L124" s="12"/>
      <c r="M124" s="12" t="str">
        <f>IFERROR(VLOOKUP(C124,categorieen!$D:$E,2,FALSE),"")</f>
        <v>Begint met een W</v>
      </c>
      <c r="N124" s="12" t="str">
        <f>IFERROR(VLOOKUP(D124,categorieen!$D:$E,2,FALSE),"")</f>
        <v>Tilburg</v>
      </c>
      <c r="O124" s="12" t="str">
        <f>IFERROR(VLOOKUP(E124,categorieen!$D:$E,2,FALSE),"")</f>
        <v/>
      </c>
      <c r="P124" s="12" t="str">
        <f>IFERROR(VLOOKUP(F124,categorieen!$D:$E,2,FALSE),"")</f>
        <v/>
      </c>
      <c r="Q124" s="12" t="str">
        <f>IFERROR(VLOOKUP(G124,categorieen!$D:$E,2,FALSE),"")</f>
        <v/>
      </c>
      <c r="R124" s="12" t="str">
        <f>IFERROR(VLOOKUP(H124,categorieen!$D:$E,2,FALSE),"")</f>
        <v/>
      </c>
      <c r="S124" s="12" t="str">
        <f>IFERROR(VLOOKUP(I124,categorieen!$D:$E,2,FALSE),"")</f>
        <v/>
      </c>
      <c r="T124" s="12" t="str">
        <f>IFERROR(VLOOKUP(J124,categorieen!$D:$E,2,FALSE),"")</f>
        <v/>
      </c>
    </row>
    <row r="125" spans="1:20" x14ac:dyDescent="0.25">
      <c r="A125" s="12" t="s">
        <v>170</v>
      </c>
      <c r="B125" s="12"/>
      <c r="C125" s="12">
        <v>10</v>
      </c>
      <c r="D125" s="12">
        <v>21</v>
      </c>
      <c r="E125" s="12">
        <v>33</v>
      </c>
      <c r="F125" s="12">
        <v>11</v>
      </c>
      <c r="G125" s="12">
        <v>19</v>
      </c>
      <c r="H125" s="12">
        <v>9</v>
      </c>
      <c r="I125" s="12">
        <v>20</v>
      </c>
      <c r="J125" s="12"/>
      <c r="K125" s="12"/>
      <c r="L125" s="12"/>
      <c r="M125" s="12" t="str">
        <f>IFERROR(VLOOKUP(C125,categorieen!$D:$E,2,FALSE),"")</f>
        <v>Begint met een W</v>
      </c>
      <c r="N125" s="12" t="str">
        <f>IFERROR(VLOOKUP(D125,categorieen!$D:$E,2,FALSE),"")</f>
        <v>West Brabant</v>
      </c>
      <c r="O125" s="12" t="str">
        <f>IFERROR(VLOOKUP(E125,categorieen!$D:$E,2,FALSE),"")</f>
        <v>076 (Breda)</v>
      </c>
      <c r="P125" s="12" t="str">
        <f>IFERROR(VLOOKUP(F125,categorieen!$D:$E,2,FALSE),"")</f>
        <v>Tilburg</v>
      </c>
      <c r="Q125" s="12" t="str">
        <f>IFERROR(VLOOKUP(G125,categorieen!$D:$E,2,FALSE),"")</f>
        <v>Natuur</v>
      </c>
      <c r="R125" s="12" t="str">
        <f>IFERROR(VLOOKUP(H125,categorieen!$D:$E,2,FALSE),"")</f>
        <v>Kiosk</v>
      </c>
      <c r="S125" s="12" t="str">
        <f>IFERROR(VLOOKUP(I125,categorieen!$D:$E,2,FALSE),"")</f>
        <v>Festival</v>
      </c>
      <c r="T125" s="12" t="str">
        <f>IFERROR(VLOOKUP(J125,categorieen!$D:$E,2,FALSE),"")</f>
        <v/>
      </c>
    </row>
    <row r="126" spans="1:20" x14ac:dyDescent="0.25">
      <c r="A126" s="12" t="s">
        <v>171</v>
      </c>
      <c r="B126" s="12"/>
      <c r="C126" s="12">
        <v>10</v>
      </c>
      <c r="D126" s="12">
        <v>38</v>
      </c>
      <c r="E126" s="12">
        <v>5</v>
      </c>
      <c r="F126" s="12">
        <v>2</v>
      </c>
      <c r="G126" s="12"/>
      <c r="H126" s="12"/>
      <c r="I126" s="12"/>
      <c r="J126" s="12"/>
      <c r="K126" s="12"/>
      <c r="L126" s="12"/>
      <c r="M126" s="12" t="str">
        <f>IFERROR(VLOOKUP(C126,categorieen!$D:$E,2,FALSE),"")</f>
        <v>Begint met een W</v>
      </c>
      <c r="N126" s="12" t="str">
        <f>IFERROR(VLOOKUP(D126,categorieen!$D:$E,2,FALSE),"")</f>
        <v>Sport</v>
      </c>
      <c r="O126" s="12" t="str">
        <f>IFERROR(VLOOKUP(E126,categorieen!$D:$E,2,FALSE),"")</f>
        <v>Bekende Brabanders</v>
      </c>
      <c r="P126" s="12" t="str">
        <f>IFERROR(VLOOKUP(F126,categorieen!$D:$E,2,FALSE),"")</f>
        <v>(stand)beeld / (Rijks)monument</v>
      </c>
      <c r="Q126" s="12" t="str">
        <f>IFERROR(VLOOKUP(G126,categorieen!$D:$E,2,FALSE),"")</f>
        <v/>
      </c>
      <c r="R126" s="12" t="str">
        <f>IFERROR(VLOOKUP(H126,categorieen!$D:$E,2,FALSE),"")</f>
        <v/>
      </c>
      <c r="S126" s="12" t="str">
        <f>IFERROR(VLOOKUP(I126,categorieen!$D:$E,2,FALSE),"")</f>
        <v/>
      </c>
      <c r="T126" s="12" t="str">
        <f>IFERROR(VLOOKUP(J126,categorieen!$D:$E,2,FALSE),"")</f>
        <v/>
      </c>
    </row>
    <row r="127" spans="1:20" x14ac:dyDescent="0.25">
      <c r="A127" s="12" t="s">
        <v>172</v>
      </c>
      <c r="B127" s="12"/>
      <c r="C127" s="12">
        <v>10</v>
      </c>
      <c r="D127" s="12">
        <v>4</v>
      </c>
      <c r="E127" s="12">
        <v>16</v>
      </c>
      <c r="F127" s="12">
        <v>26</v>
      </c>
      <c r="G127" s="12"/>
      <c r="H127" s="12"/>
      <c r="I127" s="12"/>
      <c r="J127" s="12"/>
      <c r="K127" s="12"/>
      <c r="L127" s="12"/>
      <c r="M127" s="12" t="str">
        <f>IFERROR(VLOOKUP(C127,categorieen!$D:$E,2,FALSE),"")</f>
        <v>Begint met een W</v>
      </c>
      <c r="N127" s="12" t="str">
        <f>IFERROR(VLOOKUP(D127,categorieen!$D:$E,2,FALSE),"")</f>
        <v>Zes letters</v>
      </c>
      <c r="O127" s="12" t="str">
        <f>IFERROR(VLOOKUP(E127,categorieen!$D:$E,2,FALSE),"")</f>
        <v>Buurtschap</v>
      </c>
      <c r="P127" s="12" t="str">
        <f>IFERROR(VLOOKUP(F127,categorieen!$D:$E,2,FALSE),"")</f>
        <v>Eindigt op el</v>
      </c>
      <c r="Q127" s="12" t="str">
        <f>IFERROR(VLOOKUP(G127,categorieen!$D:$E,2,FALSE),"")</f>
        <v/>
      </c>
      <c r="R127" s="12" t="str">
        <f>IFERROR(VLOOKUP(H127,categorieen!$D:$E,2,FALSE),"")</f>
        <v/>
      </c>
      <c r="S127" s="12" t="str">
        <f>IFERROR(VLOOKUP(I127,categorieen!$D:$E,2,FALSE),"")</f>
        <v/>
      </c>
      <c r="T127" s="12" t="str">
        <f>IFERROR(VLOOKUP(J127,categorieen!$D:$E,2,FALSE),"")</f>
        <v/>
      </c>
    </row>
    <row r="128" spans="1:20" x14ac:dyDescent="0.25">
      <c r="A128" s="12" t="s">
        <v>173</v>
      </c>
      <c r="B128" s="12"/>
      <c r="C128" s="12">
        <v>25</v>
      </c>
      <c r="D128" s="12">
        <v>10</v>
      </c>
      <c r="E128" s="12">
        <v>20</v>
      </c>
      <c r="F128" s="12"/>
      <c r="G128" s="12"/>
      <c r="H128" s="12"/>
      <c r="I128" s="12"/>
      <c r="J128" s="12"/>
      <c r="K128" s="12"/>
      <c r="L128" s="12"/>
      <c r="M128" s="12" t="str">
        <f>IFERROR(VLOOKUP(C128,categorieen!$D:$E,2,FALSE),"")</f>
        <v>1 van de 8</v>
      </c>
      <c r="N128" s="12" t="str">
        <f>IFERROR(VLOOKUP(D128,categorieen!$D:$E,2,FALSE),"")</f>
        <v>Begint met een W</v>
      </c>
      <c r="O128" s="12" t="str">
        <f>IFERROR(VLOOKUP(E128,categorieen!$D:$E,2,FALSE),"")</f>
        <v>Festival</v>
      </c>
      <c r="P128" s="12" t="str">
        <f>IFERROR(VLOOKUP(F128,categorieen!$D:$E,2,FALSE),"")</f>
        <v/>
      </c>
      <c r="Q128" s="12" t="str">
        <f>IFERROR(VLOOKUP(G128,categorieen!$D:$E,2,FALSE),"")</f>
        <v/>
      </c>
      <c r="R128" s="12" t="str">
        <f>IFERROR(VLOOKUP(H128,categorieen!$D:$E,2,FALSE),"")</f>
        <v/>
      </c>
      <c r="S128" s="12" t="str">
        <f>IFERROR(VLOOKUP(I128,categorieen!$D:$E,2,FALSE),"")</f>
        <v/>
      </c>
      <c r="T128" s="12" t="str">
        <f>IFERROR(VLOOKUP(J128,categorieen!$D:$E,2,FALSE),"")</f>
        <v/>
      </c>
    </row>
    <row r="129" spans="1:20" x14ac:dyDescent="0.25">
      <c r="A129" s="23" t="s">
        <v>174</v>
      </c>
      <c r="B129" s="12"/>
      <c r="C129" s="11">
        <v>2</v>
      </c>
      <c r="D129" s="11">
        <v>13</v>
      </c>
      <c r="E129" s="12">
        <v>31</v>
      </c>
      <c r="F129" s="12">
        <v>8</v>
      </c>
      <c r="G129" s="12">
        <v>10</v>
      </c>
      <c r="H129" s="12"/>
      <c r="I129" s="12"/>
      <c r="J129" s="12"/>
      <c r="K129" s="12"/>
      <c r="L129" s="12"/>
      <c r="M129" s="12" t="str">
        <f>IFERROR(VLOOKUP(C129,categorieen!$D:$E,2,FALSE),"")</f>
        <v>(stand)beeld / (Rijks)monument</v>
      </c>
      <c r="N129" s="12" t="str">
        <f>IFERROR(VLOOKUP(D129,categorieen!$D:$E,2,FALSE),"")</f>
        <v>Met dubbel T</v>
      </c>
      <c r="O129" s="12" t="str">
        <f>IFERROR(VLOOKUP(E129,categorieen!$D:$E,2,FALSE),"")</f>
        <v>Kleurrijk</v>
      </c>
      <c r="P129" s="12" t="str">
        <f>IFERROR(VLOOKUP(F129,categorieen!$D:$E,2,FALSE),"")</f>
        <v>040 (Eindhoven)</v>
      </c>
      <c r="Q129" s="12" t="str">
        <f>IFERROR(VLOOKUP(G129,categorieen!$D:$E,2,FALSE),"")</f>
        <v>Begint met een W</v>
      </c>
      <c r="R129" s="12" t="str">
        <f>IFERROR(VLOOKUP(H129,categorieen!$D:$E,2,FALSE),"")</f>
        <v/>
      </c>
      <c r="S129" s="12" t="str">
        <f>IFERROR(VLOOKUP(I129,categorieen!$D:$E,2,FALSE),"")</f>
        <v/>
      </c>
      <c r="T129" s="12" t="str">
        <f>IFERROR(VLOOKUP(J129,categorieen!$D:$E,2,FALSE),"")</f>
        <v/>
      </c>
    </row>
    <row r="130" spans="1:20" x14ac:dyDescent="0.25">
      <c r="A130" s="12" t="s">
        <v>175</v>
      </c>
      <c r="B130" s="12"/>
      <c r="C130" s="12">
        <v>40</v>
      </c>
      <c r="D130" s="12">
        <v>10</v>
      </c>
      <c r="E130" s="12">
        <v>27</v>
      </c>
      <c r="F130" s="12">
        <v>43</v>
      </c>
      <c r="G130" s="12">
        <v>22</v>
      </c>
      <c r="H130" s="12"/>
      <c r="I130" s="12"/>
      <c r="J130" s="12"/>
      <c r="K130" s="12"/>
      <c r="L130" s="12"/>
      <c r="M130" s="12" t="str">
        <f>IFERROR(VLOOKUP(C130,categorieen!$D:$E,2,FALSE),"")</f>
        <v>Typisch Brabants (TB)</v>
      </c>
      <c r="N130" s="12" t="str">
        <f>IFERROR(VLOOKUP(D130,categorieen!$D:$E,2,FALSE),"")</f>
        <v>Begint met een W</v>
      </c>
      <c r="O130" s="12" t="str">
        <f>IFERROR(VLOOKUP(E130,categorieen!$D:$E,2,FALSE),"")</f>
        <v>Eten en Drinken (ED)</v>
      </c>
      <c r="P130" s="12" t="str">
        <f>IFERROR(VLOOKUP(F130,categorieen!$D:$E,2,FALSE),"")</f>
        <v>Dierlijk</v>
      </c>
      <c r="Q130" s="12" t="str">
        <f>IFERROR(VLOOKUP(G130,categorieen!$D:$E,2,FALSE),"")</f>
        <v>3x dezelfde letter</v>
      </c>
      <c r="R130" s="12" t="str">
        <f>IFERROR(VLOOKUP(H130,categorieen!$D:$E,2,FALSE),"")</f>
        <v/>
      </c>
      <c r="S130" s="12" t="str">
        <f>IFERROR(VLOOKUP(I130,categorieen!$D:$E,2,FALSE),"")</f>
        <v/>
      </c>
      <c r="T130" s="12" t="str">
        <f>IFERROR(VLOOKUP(J130,categorieen!$D:$E,2,FALSE),"")</f>
        <v/>
      </c>
    </row>
    <row r="131" spans="1:20" x14ac:dyDescent="0.25">
      <c r="A131" s="12" t="s">
        <v>176</v>
      </c>
      <c r="B131" s="12" t="s">
        <v>209</v>
      </c>
      <c r="C131" s="12">
        <v>10</v>
      </c>
      <c r="D131" s="12">
        <v>21</v>
      </c>
      <c r="E131" s="12">
        <v>1</v>
      </c>
      <c r="F131" s="12">
        <v>24</v>
      </c>
      <c r="G131" s="12">
        <v>43</v>
      </c>
      <c r="H131" s="12">
        <v>14</v>
      </c>
      <c r="I131" s="12"/>
      <c r="J131" s="12"/>
      <c r="K131" s="12"/>
      <c r="L131" s="12"/>
      <c r="M131" s="12" t="str">
        <f>IFERROR(VLOOKUP(C131,categorieen!$D:$E,2,FALSE),"")</f>
        <v>Begint met een W</v>
      </c>
      <c r="N131" s="12" t="str">
        <f>IFERROR(VLOOKUP(D131,categorieen!$D:$E,2,FALSE),"")</f>
        <v>West Brabant</v>
      </c>
      <c r="O131" s="12" t="str">
        <f>IFERROR(VLOOKUP(E131,categorieen!$D:$E,2,FALSE),"")</f>
        <v>Eerste- en Eindletter hetzelfde</v>
      </c>
      <c r="P131" s="12" t="str">
        <f>IFERROR(VLOOKUP(F131,categorieen!$D:$E,2,FALSE),"")</f>
        <v>3 of 4 letters</v>
      </c>
      <c r="Q131" s="12" t="str">
        <f>IFERROR(VLOOKUP(G131,categorieen!$D:$E,2,FALSE),"")</f>
        <v>Dierlijk</v>
      </c>
      <c r="R131" s="12" t="str">
        <f>IFERROR(VLOOKUP(H131,categorieen!$D:$E,2,FALSE),"")</f>
        <v>Kasteel</v>
      </c>
      <c r="S131" s="12" t="str">
        <f>IFERROR(VLOOKUP(I131,categorieen!$D:$E,2,FALSE),"")</f>
        <v/>
      </c>
      <c r="T131" s="12" t="str">
        <f>IFERROR(VLOOKUP(J131,categorieen!$D:$E,2,FALSE),"")</f>
        <v/>
      </c>
    </row>
    <row r="132" spans="1:20" x14ac:dyDescent="0.25">
      <c r="A132" s="12" t="s">
        <v>177</v>
      </c>
      <c r="B132" s="12"/>
      <c r="C132" s="12">
        <v>37</v>
      </c>
      <c r="D132" s="12">
        <v>27</v>
      </c>
      <c r="E132" s="12">
        <v>22</v>
      </c>
      <c r="F132" s="12">
        <v>26</v>
      </c>
      <c r="G132" s="12">
        <v>15</v>
      </c>
      <c r="H132" s="12"/>
      <c r="I132" s="12"/>
      <c r="J132" s="12"/>
      <c r="K132" s="12"/>
      <c r="L132" s="12"/>
      <c r="M132" s="12" t="str">
        <f>IFERROR(VLOOKUP(C132,categorieen!$D:$E,2,FALSE),"")</f>
        <v>s Hertogenbosch (DB)</v>
      </c>
      <c r="N132" s="12" t="str">
        <f>IFERROR(VLOOKUP(D132,categorieen!$D:$E,2,FALSE),"")</f>
        <v>Eten en Drinken (ED)</v>
      </c>
      <c r="O132" s="12" t="str">
        <f>IFERROR(VLOOKUP(E132,categorieen!$D:$E,2,FALSE),"")</f>
        <v>3x dezelfde letter</v>
      </c>
      <c r="P132" s="12" t="str">
        <f>IFERROR(VLOOKUP(F132,categorieen!$D:$E,2,FALSE),"")</f>
        <v>Eindigt op el</v>
      </c>
      <c r="Q132" s="12" t="str">
        <f>IFERROR(VLOOKUP(G132,categorieen!$D:$E,2,FALSE),"")</f>
        <v>Getal/Cijfer</v>
      </c>
      <c r="R132" s="12" t="str">
        <f>IFERROR(VLOOKUP(H132,categorieen!$D:$E,2,FALSE),"")</f>
        <v/>
      </c>
      <c r="S132" s="12" t="str">
        <f>IFERROR(VLOOKUP(I132,categorieen!$D:$E,2,FALSE),"")</f>
        <v/>
      </c>
      <c r="T132" s="12" t="str">
        <f>IFERROR(VLOOKUP(J132,categorieen!$D:$E,2,FALSE),"")</f>
        <v/>
      </c>
    </row>
    <row r="133" spans="1:20" x14ac:dyDescent="0.25">
      <c r="A133" s="17" t="s">
        <v>187</v>
      </c>
      <c r="B133" s="12"/>
      <c r="C133" s="11">
        <v>2</v>
      </c>
      <c r="D133" s="11">
        <v>13</v>
      </c>
      <c r="E133" s="12"/>
      <c r="F133" s="12"/>
      <c r="G133" s="12"/>
      <c r="H133" s="12"/>
      <c r="I133" s="12"/>
      <c r="J133" s="12"/>
      <c r="K133" s="12"/>
      <c r="L133" s="12"/>
      <c r="M133" s="12" t="str">
        <f>IFERROR(VLOOKUP(C133,categorieen!$D:$E,2,FALSE),"")</f>
        <v>(stand)beeld / (Rijks)monument</v>
      </c>
      <c r="N133" s="12" t="str">
        <f>IFERROR(VLOOKUP(D133,categorieen!$D:$E,2,FALSE),"")</f>
        <v>Met dubbel T</v>
      </c>
      <c r="O133" s="12" t="str">
        <f>IFERROR(VLOOKUP(E133,categorieen!$D:$E,2,FALSE),"")</f>
        <v/>
      </c>
      <c r="P133" s="12" t="str">
        <f>IFERROR(VLOOKUP(F133,categorieen!$D:$E,2,FALSE),"")</f>
        <v/>
      </c>
      <c r="Q133" s="12" t="str">
        <f>IFERROR(VLOOKUP(G133,categorieen!$D:$E,2,FALSE),"")</f>
        <v/>
      </c>
      <c r="R133" s="12" t="str">
        <f>IFERROR(VLOOKUP(H133,categorieen!$D:$E,2,FALSE),"")</f>
        <v/>
      </c>
      <c r="S133" s="12" t="str">
        <f>IFERROR(VLOOKUP(I133,categorieen!$D:$E,2,FALSE),"")</f>
        <v/>
      </c>
      <c r="T133" s="12" t="str">
        <f>IFERROR(VLOOKUP(J133,categorieen!$D:$E,2,FALSE),"")</f>
        <v/>
      </c>
    </row>
  </sheetData>
  <phoneticPr fontId="4" type="noConversion"/>
  <pageMargins left="0.70866141732283472" right="0.70866141732283472" top="0.35433070866141736" bottom="0.35433070866141736" header="0.11811023622047245" footer="0.11811023622047245"/>
  <pageSetup paperSize="9" scale="40" fitToHeight="0" orientation="landscape" horizont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C84735-104A-4EB6-A782-9DEE62E764BA}">
  <sheetPr codeName="Blad5">
    <pageSetUpPr fitToPage="1"/>
  </sheetPr>
  <dimension ref="A1:AR95"/>
  <sheetViews>
    <sheetView workbookViewId="0">
      <selection activeCell="C12" sqref="C12"/>
    </sheetView>
  </sheetViews>
  <sheetFormatPr defaultRowHeight="15" x14ac:dyDescent="0.25"/>
  <cols>
    <col min="1" max="1" width="28.85546875" bestFit="1" customWidth="1"/>
    <col min="2" max="2" width="2.28515625" customWidth="1"/>
    <col min="3" max="3" width="30.28515625" bestFit="1" customWidth="1"/>
    <col min="4" max="4" width="2.140625" customWidth="1"/>
    <col min="5" max="5" width="26.5703125" bestFit="1" customWidth="1"/>
    <col min="6" max="6" width="2" customWidth="1"/>
    <col min="7" max="7" width="14.28515625" customWidth="1"/>
    <col min="8" max="8" width="2.140625" customWidth="1"/>
    <col min="9" max="9" width="19.5703125" bestFit="1" customWidth="1"/>
    <col min="10" max="10" width="2" customWidth="1"/>
    <col min="11" max="11" width="14.7109375" bestFit="1" customWidth="1"/>
    <col min="12" max="12" width="2.140625" customWidth="1"/>
    <col min="13" max="13" width="21.42578125" customWidth="1"/>
    <col min="14" max="14" width="2" bestFit="1" customWidth="1"/>
    <col min="15" max="15" width="19.7109375" bestFit="1" customWidth="1"/>
    <col min="16" max="16" width="2" bestFit="1" customWidth="1"/>
    <col min="17" max="17" width="20.28515625" bestFit="1" customWidth="1"/>
    <col min="18" max="18" width="2" customWidth="1"/>
    <col min="19" max="19" width="20.7109375" bestFit="1" customWidth="1"/>
    <col min="20" max="20" width="1.7109375" customWidth="1"/>
    <col min="21" max="21" width="20.28515625" bestFit="1" customWidth="1"/>
    <col min="22" max="22" width="1.85546875" customWidth="1"/>
    <col min="23" max="23" width="16.42578125" bestFit="1" customWidth="1"/>
    <col min="24" max="24" width="2" customWidth="1"/>
    <col min="25" max="25" width="16.42578125" bestFit="1" customWidth="1"/>
    <col min="26" max="26" width="1.7109375" customWidth="1"/>
    <col min="27" max="27" width="16.7109375" bestFit="1" customWidth="1"/>
    <col min="28" max="28" width="1.42578125" customWidth="1"/>
    <col min="29" max="29" width="15.85546875" bestFit="1" customWidth="1"/>
    <col min="30" max="30" width="1.7109375" customWidth="1"/>
    <col min="31" max="31" width="11.42578125" bestFit="1" customWidth="1"/>
    <col min="32" max="32" width="1.42578125" customWidth="1"/>
    <col min="33" max="33" width="25.5703125" bestFit="1" customWidth="1"/>
    <col min="34" max="34" width="1.85546875" customWidth="1"/>
    <col min="35" max="35" width="20.42578125" customWidth="1"/>
    <col min="36" max="36" width="2" customWidth="1"/>
    <col min="37" max="37" width="20.28515625" bestFit="1" customWidth="1"/>
    <col min="38" max="38" width="2.5703125" customWidth="1"/>
    <col min="39" max="39" width="20.28515625" bestFit="1" customWidth="1"/>
    <col min="40" max="40" width="1.7109375" customWidth="1"/>
    <col min="41" max="41" width="20.28515625" bestFit="1" customWidth="1"/>
    <col min="42" max="42" width="2" customWidth="1"/>
    <col min="43" max="43" width="26.5703125" bestFit="1" customWidth="1"/>
    <col min="44" max="44" width="1.7109375" customWidth="1"/>
    <col min="45" max="45" width="17.5703125" bestFit="1" customWidth="1"/>
    <col min="46" max="46" width="1.28515625" customWidth="1"/>
    <col min="47" max="47" width="12" bestFit="1" customWidth="1"/>
    <col min="48" max="48" width="1.28515625" customWidth="1"/>
    <col min="49" max="49" width="9.7109375" bestFit="1" customWidth="1"/>
    <col min="50" max="50" width="1.85546875" customWidth="1"/>
    <col min="51" max="51" width="12.85546875" bestFit="1" customWidth="1"/>
    <col min="52" max="52" width="1.85546875" customWidth="1"/>
    <col min="53" max="53" width="26.5703125" bestFit="1" customWidth="1"/>
    <col min="54" max="54" width="2" customWidth="1"/>
    <col min="55" max="55" width="20.140625" bestFit="1" customWidth="1"/>
    <col min="56" max="56" width="2" customWidth="1"/>
    <col min="57" max="57" width="26.5703125" bestFit="1" customWidth="1"/>
    <col min="58" max="58" width="2" customWidth="1"/>
    <col min="59" max="59" width="20.85546875" bestFit="1" customWidth="1"/>
    <col min="60" max="60" width="2" customWidth="1"/>
    <col min="61" max="61" width="22.42578125" bestFit="1" customWidth="1"/>
    <col min="62" max="62" width="2" customWidth="1"/>
    <col min="63" max="63" width="26.5703125" bestFit="1" customWidth="1"/>
    <col min="64" max="64" width="2" customWidth="1"/>
    <col min="65" max="65" width="20.28515625" bestFit="1" customWidth="1"/>
    <col min="66" max="66" width="2" customWidth="1"/>
    <col min="67" max="67" width="16.42578125" bestFit="1" customWidth="1"/>
    <col min="68" max="68" width="2" customWidth="1"/>
    <col min="69" max="69" width="23.28515625" bestFit="1" customWidth="1"/>
    <col min="70" max="70" width="2" customWidth="1"/>
    <col min="71" max="71" width="15.140625" bestFit="1" customWidth="1"/>
    <col min="72" max="72" width="2" customWidth="1"/>
    <col min="73" max="73" width="20.28515625" bestFit="1" customWidth="1"/>
    <col min="74" max="74" width="2" customWidth="1"/>
    <col min="75" max="75" width="19.28515625" bestFit="1" customWidth="1"/>
    <col min="76" max="76" width="2" customWidth="1"/>
    <col min="77" max="77" width="15" bestFit="1" customWidth="1"/>
    <col min="78" max="78" width="2" customWidth="1"/>
    <col min="79" max="79" width="20.7109375" bestFit="1" customWidth="1"/>
    <col min="80" max="80" width="2" customWidth="1"/>
    <col min="81" max="81" width="22.42578125" bestFit="1" customWidth="1"/>
    <col min="82" max="82" width="2" customWidth="1"/>
    <col min="83" max="83" width="18.140625" bestFit="1" customWidth="1"/>
    <col min="84" max="84" width="2" customWidth="1"/>
    <col min="85" max="85" width="20.7109375" bestFit="1" customWidth="1"/>
  </cols>
  <sheetData>
    <row r="1" spans="1:44" ht="19.5" customHeight="1" x14ac:dyDescent="0.25">
      <c r="A1" s="21">
        <v>29</v>
      </c>
      <c r="C1" s="21">
        <v>39</v>
      </c>
      <c r="E1" s="21">
        <v>3</v>
      </c>
      <c r="G1" s="21">
        <v>4</v>
      </c>
      <c r="I1" s="21">
        <v>5</v>
      </c>
      <c r="K1" s="21">
        <v>6</v>
      </c>
      <c r="M1" s="21">
        <v>7</v>
      </c>
      <c r="O1" s="21">
        <v>8</v>
      </c>
      <c r="Q1" s="21">
        <v>9</v>
      </c>
      <c r="S1" s="21">
        <v>10</v>
      </c>
      <c r="U1" s="21">
        <v>11</v>
      </c>
      <c r="W1" s="21">
        <v>12</v>
      </c>
      <c r="Y1" s="21">
        <v>13</v>
      </c>
      <c r="AA1" s="21">
        <v>14</v>
      </c>
      <c r="AC1" s="21">
        <v>15</v>
      </c>
      <c r="AE1" s="21">
        <v>16</v>
      </c>
      <c r="AG1" s="21">
        <v>17</v>
      </c>
      <c r="AI1" s="21">
        <v>18</v>
      </c>
      <c r="AK1" s="21">
        <v>19</v>
      </c>
      <c r="AM1" s="21">
        <v>20</v>
      </c>
      <c r="AO1" s="21">
        <v>21</v>
      </c>
      <c r="AQ1" s="21">
        <v>22</v>
      </c>
    </row>
    <row r="2" spans="1:44" x14ac:dyDescent="0.25">
      <c r="A2" s="21" t="str">
        <f>VLOOKUP(A1,categorieen!$A:$B,2,FALSE)</f>
        <v>Hilvarenbeek</v>
      </c>
      <c r="C2" s="21" t="str">
        <f>VLOOKUP(C1,categorieen!$A:$B,2,FALSE)</f>
        <v>Theater</v>
      </c>
      <c r="E2" s="21" t="str">
        <f>VLOOKUP(E1,categorieen!$A:$B,2,FALSE)</f>
        <v>Begint met een B</v>
      </c>
      <c r="F2" s="4"/>
      <c r="G2" s="21" t="str">
        <f>VLOOKUP(G1,categorieen!$A:$B,2,FALSE)</f>
        <v>Zes letters</v>
      </c>
      <c r="H2" s="4"/>
      <c r="I2" s="21" t="str">
        <f>VLOOKUP(I1,categorieen!$A:$B,2,FALSE)</f>
        <v>Bekende Brabanders</v>
      </c>
      <c r="J2" s="4"/>
      <c r="K2" s="21" t="str">
        <f>VLOOKUP(K1,categorieen!$A:$B,2,FALSE)</f>
        <v>Met B en B</v>
      </c>
      <c r="L2" s="4"/>
      <c r="M2" s="21" t="str">
        <f>VLOOKUP(M1,categorieen!$A:$B,2,FALSE)</f>
        <v>Alaaf</v>
      </c>
      <c r="N2" s="4"/>
      <c r="O2" s="21" t="str">
        <f>VLOOKUP(O1,categorieen!$A:$B,2,FALSE)</f>
        <v>040 (Eindhoven</v>
      </c>
      <c r="P2" s="4"/>
      <c r="Q2" s="21" t="str">
        <f>VLOOKUP(Q1,categorieen!$A:$B,2,FALSE)</f>
        <v>Kiosk</v>
      </c>
      <c r="R2" s="4"/>
      <c r="S2" s="21" t="str">
        <f>VLOOKUP(S1,categorieen!$A:$B,2,FALSE)</f>
        <v>Begint met een W</v>
      </c>
      <c r="T2" s="4"/>
      <c r="U2" s="21" t="str">
        <f>VLOOKUP(U1,categorieen!$A:$B,2,FALSE)</f>
        <v>Tilburg</v>
      </c>
      <c r="V2" s="4"/>
      <c r="W2" s="21" t="str">
        <f>VLOOKUP(W1,categorieen!$A:$B,2,FALSE)</f>
        <v>Water</v>
      </c>
      <c r="X2" s="4"/>
      <c r="Y2" s="21" t="str">
        <f>VLOOKUP(Y1,categorieen!$A:$B,2,FALSE)</f>
        <v>Met dubbel T</v>
      </c>
      <c r="Z2" s="4"/>
      <c r="AA2" s="21" t="str">
        <f>VLOOKUP(AA1,categorieen!$A:$B,2,FALSE)</f>
        <v>Kasteel</v>
      </c>
      <c r="AB2" s="4"/>
      <c r="AC2" s="21" t="str">
        <f>VLOOKUP(AC1,categorieen!$A:$B,2,FALSE)</f>
        <v>Getal/Cijfer</v>
      </c>
      <c r="AD2" s="4"/>
      <c r="AE2" s="21" t="str">
        <f>VLOOKUP(AE1,categorieen!$A:$B,2,FALSE)</f>
        <v>Buurtschap</v>
      </c>
      <c r="AF2" s="4"/>
      <c r="AG2" s="21" t="str">
        <f>VLOOKUP(AG1,categorieen!$A:$B,2,FALSE)</f>
        <v>Met dubbel s</v>
      </c>
      <c r="AH2" s="4"/>
      <c r="AI2" s="21" t="str">
        <f>VLOOKUP(AI1,categorieen!$A:$B,2,FALSE)</f>
        <v>Willem II</v>
      </c>
      <c r="AJ2" s="4"/>
      <c r="AK2" s="21" t="str">
        <f>VLOOKUP(AK1,categorieen!$A:$B,2,FALSE)</f>
        <v>Natuur</v>
      </c>
      <c r="AL2" s="4"/>
      <c r="AM2" s="21" t="str">
        <f>VLOOKUP(AM1,categorieen!$A:$B,2,FALSE)</f>
        <v>Festival</v>
      </c>
      <c r="AN2" s="4"/>
      <c r="AO2" s="21" t="str">
        <f>VLOOKUP(AO1,categorieen!$A:$B,2,FALSE)</f>
        <v>West Brabant</v>
      </c>
      <c r="AP2" s="4"/>
      <c r="AQ2" s="21" t="str">
        <f>VLOOKUP(AQ1,categorieen!$A:$B,2,FALSE)</f>
        <v>3x dezelfde letter</v>
      </c>
      <c r="AR2" s="4"/>
    </row>
    <row r="3" spans="1:44" x14ac:dyDescent="0.25">
      <c r="A3" s="22" t="str" cm="1">
        <f t="array" aca="1" ref="A3:A47" ca="1">TRANSPOSE(Lijstjemaken(A1))</f>
        <v>Beekse Bergen</v>
      </c>
      <c r="B3" s="22"/>
      <c r="C3" s="22" t="str" cm="1">
        <f t="array" aca="1" ref="C3:C47" ca="1">TRANSPOSE(Lijstjemaken(C1))</f>
        <v>(aan de) Parade</v>
      </c>
      <c r="D3" s="22"/>
      <c r="E3" s="22" t="str" cm="1">
        <f t="array" aca="1" ref="E3:E47" ca="1">TRANSPOSE(Lijstjemaken(E1))</f>
        <v>Balkenbrij</v>
      </c>
      <c r="F3" s="22"/>
      <c r="G3" s="22" t="str" cm="1">
        <f t="array" aca="1" ref="G3:G47" ca="1">TRANSPOSE(Lijstjemaken(G1))</f>
        <v>Beerze</v>
      </c>
      <c r="H3" s="22"/>
      <c r="I3" s="22" t="str" cm="1">
        <f t="array" aca="1" ref="I3:I47" ca="1">TRANSPOSE(Lijstjemaken(I1))</f>
        <v>Anton Philips</v>
      </c>
      <c r="J3" s="22"/>
      <c r="K3" s="22" t="str" cm="1">
        <f t="array" aca="1" ref="K3:K47" ca="1">TRANSPOSE(Lijstjemaken(K1))</f>
        <v>Balkenbrij</v>
      </c>
      <c r="L3" s="22"/>
      <c r="M3" s="22" t="str" cm="1">
        <f t="array" aca="1" ref="M3:M47" ca="1">TRANSPOSE(Lijstjemaken(M1))</f>
        <v>De Laat</v>
      </c>
      <c r="N3" s="22"/>
      <c r="O3" s="22" t="str" cm="1">
        <f t="array" aca="1" ref="O3:O47" ca="1">TRANSPOSE(Lijstjemaken(O1))</f>
        <v>18 September</v>
      </c>
      <c r="P3" s="22"/>
      <c r="Q3" s="22" t="str" cm="1">
        <f t="array" aca="1" ref="Q3:Q47" ca="1">TRANSPOSE(Lijstjemaken(Q1))</f>
        <v>Aarle Rixtel</v>
      </c>
      <c r="R3" s="22"/>
      <c r="S3" s="22" t="str" cm="1">
        <f t="array" aca="1" ref="S3:S47" ca="1">TRANSPOSE(Lijstjemaken(S1))</f>
        <v>Westpoint</v>
      </c>
      <c r="T3" s="22"/>
      <c r="U3" s="22" t="str" cm="1">
        <f t="array" aca="1" ref="U3:U47" ca="1">TRANSPOSE(Lijstjemaken(U1))</f>
        <v>Bartels</v>
      </c>
      <c r="V3" s="22"/>
      <c r="W3" s="22" t="str" cm="1">
        <f t="array" aca="1" ref="W3:W47" ca="1">TRANSPOSE(Lijstjemaken(W1))</f>
        <v>Beerze</v>
      </c>
      <c r="X3" s="22"/>
      <c r="Y3" s="22" t="str" cm="1">
        <f t="array" aca="1" ref="Y3:Y47" ca="1">TRANSPOSE(Lijstjemaken(Y1))</f>
        <v>De Zotte Mulders</v>
      </c>
      <c r="Z3" s="22"/>
      <c r="AA3" s="22" t="str" cm="1">
        <f t="array" aca="1" ref="AA3:AA47" ca="1">TRANSPOSE(Lijstjemaken(AA1))</f>
        <v>Aarle Rixtel</v>
      </c>
      <c r="AB3" s="22"/>
      <c r="AC3" s="22" t="str" cm="1">
        <f t="array" aca="1" ref="AC3:AC47" ca="1">TRANSPOSE(Lijstjemaken(AC1))</f>
        <v>18 September</v>
      </c>
      <c r="AD3" s="22"/>
      <c r="AE3" s="22" t="str" cm="1">
        <f t="array" aca="1" ref="AE3:AE47" ca="1">TRANSPOSE(Lijstjemaken(AE1))</f>
        <v>Arendsnest</v>
      </c>
      <c r="AF3" s="22"/>
      <c r="AG3" s="22" t="str" cm="1">
        <f t="array" aca="1" ref="AG3:AG47" ca="1">TRANSPOSE(Lijstjemaken(AG1))</f>
        <v>Assumburg</v>
      </c>
      <c r="AH3" s="22"/>
      <c r="AI3" s="22" t="str" cm="1">
        <f t="array" aca="1" ref="AI3:AI47" ca="1">TRANSPOSE(Lijstjemaken(AI1))</f>
        <v>Bram Braam</v>
      </c>
      <c r="AJ3" s="22"/>
      <c r="AK3" s="22" t="str" cm="1">
        <f t="array" aca="1" ref="AK3:AK47" ca="1">TRANSPOSE(Lijstjemaken(AK1))</f>
        <v>Beerze</v>
      </c>
      <c r="AL3" s="22"/>
      <c r="AM3" s="22" t="str" cm="1">
        <f t="array" aca="1" ref="AM3:AM47" ca="1">TRANSPOSE(Lijstjemaken(AM1))</f>
        <v>(aan de) Parade</v>
      </c>
      <c r="AN3" s="22"/>
      <c r="AO3" s="22" t="str" cm="1">
        <f t="array" aca="1" ref="AO3:AO47" ca="1">TRANSPOSE(Lijstjemaken(AO1))</f>
        <v>Assumburg</v>
      </c>
      <c r="AP3" s="22"/>
      <c r="AQ3" s="22" t="str" cm="1">
        <f t="array" aca="1" ref="AQ3:AQ47" ca="1">TRANSPOSE(Lijstjemaken(AQ1))</f>
        <v>18 September</v>
      </c>
      <c r="AR3" s="22"/>
    </row>
    <row r="4" spans="1:44" x14ac:dyDescent="0.25">
      <c r="A4" s="22" t="str">
        <f ca="1"/>
        <v>Bierbrouwerij de Roos (BdR)</v>
      </c>
      <c r="B4" s="22"/>
      <c r="C4" s="22" t="str">
        <f ca="1"/>
        <v>Chassé</v>
      </c>
      <c r="D4" s="22"/>
      <c r="E4" s="22" t="str">
        <f ca="1"/>
        <v>Baol</v>
      </c>
      <c r="F4" s="22"/>
      <c r="G4" s="22" t="str">
        <f ca="1"/>
        <v>Bekant</v>
      </c>
      <c r="H4" s="22"/>
      <c r="I4" s="22" t="str">
        <f ca="1"/>
        <v>Bram Braam</v>
      </c>
      <c r="J4" s="22"/>
      <c r="K4" s="22" t="str">
        <f ca="1"/>
        <v>Beekse Bergen</v>
      </c>
      <c r="L4" s="22"/>
      <c r="M4" s="22" t="str">
        <f ca="1"/>
        <v>De Twee Pinten</v>
      </c>
      <c r="N4" s="22"/>
      <c r="O4" s="22" t="str">
        <f ca="1"/>
        <v>Anton Philips</v>
      </c>
      <c r="P4" s="22"/>
      <c r="Q4" s="22" t="str">
        <f ca="1"/>
        <v>De Heuvel</v>
      </c>
      <c r="R4" s="22"/>
      <c r="S4" s="22" t="str">
        <f ca="1"/>
        <v>Wilhelminapark (WP)</v>
      </c>
      <c r="T4" s="22"/>
      <c r="U4" s="22" t="str">
        <f ca="1"/>
        <v>Borghs</v>
      </c>
      <c r="V4" s="22"/>
      <c r="W4" s="22" t="str">
        <f ca="1"/>
        <v>Bergen op Zoom</v>
      </c>
      <c r="X4" s="22"/>
      <c r="Y4" s="22" t="str">
        <f ca="1"/>
        <v>Ihattaren</v>
      </c>
      <c r="Z4" s="22"/>
      <c r="AA4" s="22" t="str">
        <f ca="1"/>
        <v>Bouvigne</v>
      </c>
      <c r="AB4" s="22"/>
      <c r="AC4" s="22" t="str">
        <f ca="1"/>
        <v>A2</v>
      </c>
      <c r="AD4" s="22"/>
      <c r="AE4" s="22" t="str">
        <f ca="1"/>
        <v>De Leest</v>
      </c>
      <c r="AF4" s="22"/>
      <c r="AG4" s="22" t="str">
        <f ca="1"/>
        <v>Borstbeeld Asselbergs (BA)</v>
      </c>
      <c r="AH4" s="22"/>
      <c r="AI4" s="22" t="str">
        <f ca="1"/>
        <v>Bud Brocken</v>
      </c>
      <c r="AJ4" s="22"/>
      <c r="AK4" s="22" t="str">
        <f ca="1"/>
        <v>Biesbosch</v>
      </c>
      <c r="AL4" s="22"/>
      <c r="AM4" s="22" t="str">
        <f ca="1"/>
        <v>Beekse Bergen</v>
      </c>
      <c r="AN4" s="22"/>
      <c r="AO4" s="22" t="str">
        <f ca="1"/>
        <v>Bergen op Zoom</v>
      </c>
      <c r="AP4" s="22"/>
      <c r="AQ4" s="22" t="str">
        <f ca="1"/>
        <v>Beerze</v>
      </c>
      <c r="AR4" s="22"/>
    </row>
    <row r="5" spans="1:44" x14ac:dyDescent="0.25">
      <c r="A5" s="22" t="str">
        <f ca="1"/>
        <v>Biestse Boulers</v>
      </c>
      <c r="B5" s="22"/>
      <c r="C5" s="22" t="str">
        <f ca="1"/>
        <v>De Eeendracht</v>
      </c>
      <c r="D5" s="22"/>
      <c r="E5" s="22" t="str">
        <f ca="1"/>
        <v>Bartels</v>
      </c>
      <c r="F5" s="22"/>
      <c r="G5" s="22" t="str">
        <f ca="1"/>
        <v>Borghs</v>
      </c>
      <c r="H5" s="22"/>
      <c r="I5" s="22" t="str">
        <f ca="1"/>
        <v>Bud Brocken</v>
      </c>
      <c r="J5" s="22"/>
      <c r="K5" s="22" t="str">
        <f ca="1"/>
        <v>Bieb</v>
      </c>
      <c r="L5" s="22"/>
      <c r="M5" s="22" t="str">
        <f ca="1"/>
        <v>De Vrijthof</v>
      </c>
      <c r="N5" s="22"/>
      <c r="O5" s="22" t="str">
        <f ca="1"/>
        <v>A2</v>
      </c>
      <c r="P5" s="22"/>
      <c r="Q5" s="22" t="str">
        <f ca="1"/>
        <v>De Lind</v>
      </c>
      <c r="R5" s="22"/>
      <c r="S5" s="22" t="str">
        <f ca="1"/>
        <v>Wim van Est</v>
      </c>
      <c r="T5" s="22"/>
      <c r="U5" s="22" t="str">
        <f ca="1"/>
        <v>Bram Braam</v>
      </c>
      <c r="V5" s="22"/>
      <c r="W5" s="22" t="str">
        <f ca="1"/>
        <v>Bergsche Maas</v>
      </c>
      <c r="X5" s="22"/>
      <c r="Y5" s="22" t="str">
        <f ca="1"/>
        <v>Lunetten</v>
      </c>
      <c r="Z5" s="22"/>
      <c r="AA5" s="22" t="str">
        <f ca="1"/>
        <v>Broekhoven</v>
      </c>
      <c r="AB5" s="22"/>
      <c r="AC5" s="22" t="str">
        <f ca="1"/>
        <v>De 3 van</v>
      </c>
      <c r="AD5" s="22"/>
      <c r="AE5" s="22" t="str">
        <f ca="1"/>
        <v>De Pelikaan</v>
      </c>
      <c r="AF5" s="22"/>
      <c r="AG5" s="22" t="str">
        <f ca="1"/>
        <v>Chassé</v>
      </c>
      <c r="AH5" s="22"/>
      <c r="AI5" s="22" t="str">
        <f ca="1"/>
        <v>Diessen</v>
      </c>
      <c r="AJ5" s="22"/>
      <c r="AK5" s="22" t="str">
        <f ca="1"/>
        <v>Bossche Broek</v>
      </c>
      <c r="AL5" s="22"/>
      <c r="AM5" s="22" t="str">
        <f ca="1"/>
        <v>De Koepel</v>
      </c>
      <c r="AN5" s="22"/>
      <c r="AO5" s="22" t="str">
        <f ca="1"/>
        <v>De 3 van</v>
      </c>
      <c r="AP5" s="22"/>
      <c r="AQ5" s="22" t="str">
        <f ca="1"/>
        <v>Bergen op Zoom</v>
      </c>
      <c r="AR5" s="22"/>
    </row>
    <row r="6" spans="1:44" x14ac:dyDescent="0.25">
      <c r="A6" s="22" t="str">
        <f ca="1"/>
        <v>Borstbeeld Asselbergs (BA)</v>
      </c>
      <c r="B6" s="22"/>
      <c r="C6" s="22" t="str">
        <f ca="1"/>
        <v>De Leest</v>
      </c>
      <c r="D6" s="22"/>
      <c r="E6" s="22" t="str">
        <f ca="1"/>
        <v>Beerze</v>
      </c>
      <c r="F6" s="22"/>
      <c r="G6" s="22" t="str">
        <f ca="1"/>
        <v>Chassé</v>
      </c>
      <c r="H6" s="22"/>
      <c r="I6" s="22" t="str">
        <f ca="1"/>
        <v>Chassé</v>
      </c>
      <c r="J6" s="22"/>
      <c r="K6" s="22" t="str">
        <f ca="1"/>
        <v>Bierbrouwerij de Roos (BdR)</v>
      </c>
      <c r="L6" s="22"/>
      <c r="M6" s="22" t="str">
        <f ca="1"/>
        <v>De Zotte Mulders</v>
      </c>
      <c r="N6" s="22"/>
      <c r="O6" s="22" t="str">
        <f ca="1"/>
        <v>Broekhoven</v>
      </c>
      <c r="P6" s="22"/>
      <c r="Q6" s="22" t="str">
        <f ca="1"/>
        <v>De Vrijthof</v>
      </c>
      <c r="R6" s="22"/>
      <c r="S6" s="22" t="str">
        <f ca="1"/>
        <v>Winkel</v>
      </c>
      <c r="T6" s="22"/>
      <c r="U6" s="22" t="str">
        <f ca="1"/>
        <v>Broekhoven</v>
      </c>
      <c r="V6" s="22"/>
      <c r="W6" s="22" t="str">
        <f ca="1"/>
        <v>Binnen Dieze</v>
      </c>
      <c r="X6" s="22"/>
      <c r="Y6" s="22" t="str">
        <f ca="1"/>
        <v>Moerputten</v>
      </c>
      <c r="Z6" s="22"/>
      <c r="AA6" s="22" t="str">
        <f ca="1"/>
        <v>De Blauwe Camer</v>
      </c>
      <c r="AB6" s="22"/>
      <c r="AC6" s="22" t="str">
        <f ca="1"/>
        <v>De Eeendracht</v>
      </c>
      <c r="AD6" s="22"/>
      <c r="AE6" s="22" t="str">
        <f ca="1"/>
        <v>Heeswijk</v>
      </c>
      <c r="AF6" s="22"/>
      <c r="AG6" s="22" t="str">
        <f ca="1"/>
        <v>Diessen</v>
      </c>
      <c r="AH6" s="22"/>
      <c r="AI6" s="22" t="str">
        <f ca="1"/>
        <v>Joris Mathijsen (JM)</v>
      </c>
      <c r="AJ6" s="22"/>
      <c r="AK6" s="22" t="str">
        <f ca="1"/>
        <v>Bouvigne</v>
      </c>
      <c r="AL6" s="22"/>
      <c r="AM6" s="22" t="str">
        <f ca="1"/>
        <v>Elastiek</v>
      </c>
      <c r="AN6" s="22"/>
      <c r="AO6" s="22" t="str">
        <f ca="1"/>
        <v>De Eeendracht</v>
      </c>
      <c r="AP6" s="22"/>
      <c r="AQ6" s="22" t="str">
        <f ca="1"/>
        <v>Bierbrouwerij de Roos (BdR)</v>
      </c>
      <c r="AR6" s="22"/>
    </row>
    <row r="7" spans="1:44" x14ac:dyDescent="0.25">
      <c r="A7" s="22" t="str">
        <f ca="1"/>
        <v>De Vrijthof</v>
      </c>
      <c r="B7" s="22"/>
      <c r="C7" s="22" t="str">
        <f ca="1"/>
        <v>Pand P</v>
      </c>
      <c r="D7" s="22"/>
      <c r="E7" s="22" t="str">
        <f ca="1"/>
        <v>Bekant</v>
      </c>
      <c r="F7" s="22"/>
      <c r="G7" s="22" t="str">
        <f ca="1"/>
        <v>De 3 van</v>
      </c>
      <c r="H7" s="22"/>
      <c r="I7" s="22" t="str">
        <f ca="1"/>
        <v>De Laat</v>
      </c>
      <c r="J7" s="22"/>
      <c r="K7" s="22" t="str">
        <f ca="1"/>
        <v>Biesbosch</v>
      </c>
      <c r="L7" s="22"/>
      <c r="M7" s="22" t="str">
        <f ca="1"/>
        <v>Kruikezeiker</v>
      </c>
      <c r="N7" s="22"/>
      <c r="O7" s="22" t="str">
        <f ca="1"/>
        <v>De Heuvel</v>
      </c>
      <c r="P7" s="22"/>
      <c r="Q7" s="22" t="str">
        <f ca="1"/>
        <v>Duizel</v>
      </c>
      <c r="R7" s="22"/>
      <c r="S7" s="22" t="str">
        <f ca="1"/>
        <v>Wintelre</v>
      </c>
      <c r="T7" s="22"/>
      <c r="U7" s="22" t="str">
        <f ca="1"/>
        <v>Bud Brocken</v>
      </c>
      <c r="V7" s="22"/>
      <c r="W7" s="22" t="str">
        <f ca="1"/>
        <v>Borghs</v>
      </c>
      <c r="X7" s="22"/>
      <c r="Y7" s="22" t="str">
        <f ca="1"/>
        <v>Sint Juttemis</v>
      </c>
      <c r="Z7" s="22"/>
      <c r="AA7" s="22" t="str">
        <f ca="1"/>
        <v>Gorp en Roovert</v>
      </c>
      <c r="AB7" s="22"/>
      <c r="AC7" s="22" t="str">
        <f ca="1"/>
        <v>De 2 Gebroeders</v>
      </c>
      <c r="AD7" s="22"/>
      <c r="AE7" s="22" t="str">
        <f ca="1"/>
        <v>Heimolen</v>
      </c>
      <c r="AF7" s="22"/>
      <c r="AG7" s="22" t="str">
        <f ca="1"/>
        <v>Frits Spits</v>
      </c>
      <c r="AH7" s="22"/>
      <c r="AI7" s="22" t="str">
        <f ca="1"/>
        <v>Piet de Visser</v>
      </c>
      <c r="AJ7" s="22"/>
      <c r="AK7" s="22" t="str">
        <f ca="1"/>
        <v>Cartierheide</v>
      </c>
      <c r="AL7" s="22"/>
      <c r="AM7" s="22" t="str">
        <f ca="1"/>
        <v>Glow</v>
      </c>
      <c r="AN7" s="22"/>
      <c r="AO7" s="22" t="str">
        <f ca="1"/>
        <v>De Paarse Heide</v>
      </c>
      <c r="AP7" s="22"/>
      <c r="AQ7" s="22" t="str">
        <f ca="1"/>
        <v>Biestse Boulers</v>
      </c>
      <c r="AR7" s="22"/>
    </row>
    <row r="8" spans="1:44" x14ac:dyDescent="0.25">
      <c r="A8" s="22" t="str">
        <f ca="1"/>
        <v>Diessen</v>
      </c>
      <c r="B8" s="22"/>
      <c r="C8" s="22" t="str">
        <f ca="1"/>
        <v>Vestzak</v>
      </c>
      <c r="D8" s="22"/>
      <c r="E8" s="22" t="str">
        <f ca="1"/>
        <v>Bergen op Zoom</v>
      </c>
      <c r="F8" s="22"/>
      <c r="G8" s="22" t="str">
        <f ca="1"/>
        <v>De Laat</v>
      </c>
      <c r="H8" s="22"/>
      <c r="I8" s="22" t="str">
        <f ca="1"/>
        <v>De Twee Pinten</v>
      </c>
      <c r="J8" s="22"/>
      <c r="K8" s="22" t="str">
        <f ca="1"/>
        <v>Biestse Boulers</v>
      </c>
      <c r="L8" s="22"/>
      <c r="M8" s="22" t="str">
        <f ca="1"/>
        <v>Lampegat</v>
      </c>
      <c r="N8" s="22"/>
      <c r="O8" s="22" t="str">
        <f ca="1"/>
        <v>Evoluon</v>
      </c>
      <c r="P8" s="22"/>
      <c r="Q8" s="22" t="str">
        <f ca="1"/>
        <v>Eersel</v>
      </c>
      <c r="R8" s="22"/>
      <c r="S8" s="22" t="str">
        <f ca="1"/>
        <v>Witte Dame</v>
      </c>
      <c r="T8" s="22"/>
      <c r="U8" s="22" t="str">
        <f ca="1"/>
        <v>De Heuvel</v>
      </c>
      <c r="V8" s="22"/>
      <c r="W8" s="22" t="str">
        <f ca="1"/>
        <v>Bossche Broek</v>
      </c>
      <c r="X8" s="22"/>
      <c r="Y8" s="22" t="str">
        <f ca="1"/>
        <v>Witte Dame</v>
      </c>
      <c r="Z8" s="22"/>
      <c r="AA8" s="22" t="str">
        <f ca="1"/>
        <v>Heeswijk</v>
      </c>
      <c r="AB8" s="22"/>
      <c r="AC8" s="22" t="str">
        <f ca="1"/>
        <v>De Twee Pinten</v>
      </c>
      <c r="AD8" s="22"/>
      <c r="AE8" s="22" t="str">
        <f ca="1"/>
        <v>Lies</v>
      </c>
      <c r="AF8" s="22"/>
      <c r="AG8" s="22" t="str">
        <f ca="1"/>
        <v>Liessel</v>
      </c>
      <c r="AH8" s="22"/>
      <c r="AI8" s="22" t="str">
        <f ca="1"/>
        <v>Roel van Hemert</v>
      </c>
      <c r="AJ8" s="22"/>
      <c r="AK8" s="22" t="str">
        <f ca="1"/>
        <v>De Eeendracht</v>
      </c>
      <c r="AL8" s="22"/>
      <c r="AM8" s="22" t="str">
        <f ca="1"/>
        <v>Halve Zolen</v>
      </c>
      <c r="AN8" s="22"/>
      <c r="AO8" s="22" t="str">
        <f ca="1"/>
        <v>De Pelikaan</v>
      </c>
      <c r="AP8" s="22"/>
      <c r="AQ8" s="22" t="str">
        <f ca="1"/>
        <v>Borstbeeld Asselbergs (BA)</v>
      </c>
      <c r="AR8" s="22"/>
    </row>
    <row r="9" spans="1:44" x14ac:dyDescent="0.25">
      <c r="A9" s="22" t="str">
        <f ca="1"/>
        <v>Elastiek</v>
      </c>
      <c r="B9" s="22"/>
      <c r="C9" s="22">
        <f ca="1"/>
        <v>0</v>
      </c>
      <c r="D9" s="22"/>
      <c r="E9" s="22" t="str">
        <f ca="1"/>
        <v>Bergsche Maas</v>
      </c>
      <c r="F9" s="22"/>
      <c r="G9" s="22" t="str">
        <f ca="1"/>
        <v>De Lind</v>
      </c>
      <c r="H9" s="22"/>
      <c r="I9" s="22" t="str">
        <f ca="1"/>
        <v>Donders</v>
      </c>
      <c r="J9" s="22"/>
      <c r="K9" s="22" t="str">
        <f ca="1"/>
        <v>Bossche Broek</v>
      </c>
      <c r="L9" s="22"/>
      <c r="M9" s="22" t="str">
        <f ca="1"/>
        <v>Papgat</v>
      </c>
      <c r="N9" s="22"/>
      <c r="O9" s="22" t="str">
        <f ca="1"/>
        <v>Frits Spits</v>
      </c>
      <c r="P9" s="22"/>
      <c r="Q9" s="22" t="str">
        <f ca="1"/>
        <v>Heeswijk</v>
      </c>
      <c r="R9" s="22"/>
      <c r="S9" s="22" t="str">
        <f ca="1"/>
        <v>Worstenbroodje (WB)</v>
      </c>
      <c r="T9" s="22"/>
      <c r="U9" s="22" t="str">
        <f ca="1"/>
        <v>Kruikezeiker</v>
      </c>
      <c r="V9" s="22"/>
      <c r="W9" s="22" t="str">
        <f ca="1"/>
        <v>Cartierheide</v>
      </c>
      <c r="X9" s="22"/>
      <c r="Y9" s="22" t="str">
        <f ca="1"/>
        <v>Zittend Meisje</v>
      </c>
      <c r="Z9" s="22"/>
      <c r="AA9" s="22" t="str">
        <f ca="1"/>
        <v>Helmond</v>
      </c>
      <c r="AB9" s="22"/>
      <c r="AC9" s="22" t="str">
        <f ca="1"/>
        <v>De Zwaan 1623</v>
      </c>
      <c r="AD9" s="22"/>
      <c r="AE9" s="22" t="str">
        <f ca="1"/>
        <v>Noenes</v>
      </c>
      <c r="AF9" s="22"/>
      <c r="AG9" s="22" t="str">
        <f ca="1"/>
        <v>Nieuw Vossemeer</v>
      </c>
      <c r="AH9" s="22"/>
      <c r="AI9" s="22" t="str">
        <f ca="1"/>
        <v>Van Geel</v>
      </c>
      <c r="AJ9" s="22"/>
      <c r="AK9" s="22" t="str">
        <f ca="1"/>
        <v>De Korenbloem</v>
      </c>
      <c r="AL9" s="22"/>
      <c r="AM9" s="22" t="str">
        <f ca="1"/>
        <v>Intents</v>
      </c>
      <c r="AN9" s="22"/>
      <c r="AO9" s="22" t="str">
        <f ca="1"/>
        <v>De 2 Gebroeders</v>
      </c>
      <c r="AP9" s="22"/>
      <c r="AQ9" s="22" t="str">
        <f ca="1"/>
        <v>Bram Braam</v>
      </c>
      <c r="AR9" s="22"/>
    </row>
    <row r="10" spans="1:44" x14ac:dyDescent="0.25">
      <c r="A10" s="22" t="str">
        <f ca="1"/>
        <v>Gorp en Roovert</v>
      </c>
      <c r="B10" s="22"/>
      <c r="C10" s="22">
        <f ca="1"/>
        <v>0</v>
      </c>
      <c r="D10" s="22"/>
      <c r="E10" s="22" t="str">
        <f ca="1"/>
        <v>Bieb</v>
      </c>
      <c r="F10" s="22"/>
      <c r="G10" s="22" t="str">
        <f ca="1"/>
        <v>Duizel</v>
      </c>
      <c r="H10" s="22"/>
      <c r="I10" s="22" t="str">
        <f ca="1"/>
        <v>Frits Spits</v>
      </c>
      <c r="J10" s="22"/>
      <c r="K10" s="22" t="str">
        <f ca="1"/>
        <v>Bram Braam</v>
      </c>
      <c r="L10" s="22"/>
      <c r="M10" s="22" t="str">
        <f ca="1"/>
        <v>Papzakken</v>
      </c>
      <c r="N10" s="22"/>
      <c r="O10" s="22" t="str">
        <f ca="1"/>
        <v>Glow</v>
      </c>
      <c r="P10" s="22"/>
      <c r="Q10" s="22" t="str">
        <f ca="1"/>
        <v>Nuenen</v>
      </c>
      <c r="R10" s="22"/>
      <c r="S10" s="22" t="str">
        <f ca="1"/>
        <v>Wouw</v>
      </c>
      <c r="T10" s="22"/>
      <c r="U10" s="22" t="str">
        <f ca="1"/>
        <v>Petrus en Paulus (PP)</v>
      </c>
      <c r="V10" s="22"/>
      <c r="W10" s="22" t="str">
        <f ca="1"/>
        <v>De Eeendracht</v>
      </c>
      <c r="X10" s="22"/>
      <c r="Y10" s="22">
        <f ca="1"/>
        <v>0</v>
      </c>
      <c r="Z10" s="22"/>
      <c r="AA10" s="22" t="str">
        <f ca="1"/>
        <v>Maurick</v>
      </c>
      <c r="AB10" s="22"/>
      <c r="AC10" s="22" t="str">
        <f ca="1"/>
        <v>Halve Zolen</v>
      </c>
      <c r="AD10" s="22"/>
      <c r="AE10" s="22" t="str">
        <f ca="1"/>
        <v>Noordhoek</v>
      </c>
      <c r="AF10" s="22"/>
      <c r="AG10" s="22" t="str">
        <f ca="1"/>
        <v>Oss</v>
      </c>
      <c r="AH10" s="22"/>
      <c r="AI10" s="22" t="str">
        <f ca="1"/>
        <v>Van Roessel</v>
      </c>
      <c r="AJ10" s="22"/>
      <c r="AK10" s="22" t="str">
        <f ca="1"/>
        <v>De Paarse Heide</v>
      </c>
      <c r="AL10" s="22"/>
      <c r="AM10" s="22" t="str">
        <f ca="1"/>
        <v>KVL</v>
      </c>
      <c r="AN10" s="22"/>
      <c r="AO10" s="22" t="str">
        <f ca="1"/>
        <v>Heimolen</v>
      </c>
      <c r="AP10" s="22"/>
      <c r="AQ10" s="22" t="str">
        <f ca="1"/>
        <v>Cartierheide</v>
      </c>
      <c r="AR10" s="22"/>
    </row>
    <row r="11" spans="1:44" x14ac:dyDescent="0.25">
      <c r="A11" s="22" t="str">
        <f ca="1"/>
        <v>Roel van Hemert</v>
      </c>
      <c r="B11" s="22"/>
      <c r="C11" s="22">
        <f ca="1"/>
        <v>0</v>
      </c>
      <c r="D11" s="22"/>
      <c r="E11" s="22" t="str">
        <f ca="1"/>
        <v>Bierbrouwerij de Roos (BdR)</v>
      </c>
      <c r="F11" s="22"/>
      <c r="G11" s="22" t="str">
        <f ca="1"/>
        <v>Eersel</v>
      </c>
      <c r="H11" s="22"/>
      <c r="I11" s="22" t="str">
        <f ca="1"/>
        <v>Joris Mathijsen (JM)</v>
      </c>
      <c r="J11" s="22"/>
      <c r="K11" s="22" t="str">
        <f ca="1"/>
        <v>Bud Brocken</v>
      </c>
      <c r="L11" s="22"/>
      <c r="M11" s="22" t="str">
        <f ca="1"/>
        <v>Ploegersland</v>
      </c>
      <c r="N11" s="22"/>
      <c r="O11" s="22" t="str">
        <f ca="1"/>
        <v>Ihattaren</v>
      </c>
      <c r="P11" s="22"/>
      <c r="Q11" s="22" t="str">
        <f ca="1"/>
        <v>(plein) 1969</v>
      </c>
      <c r="R11" s="22"/>
      <c r="S11" s="22">
        <f ca="1"/>
        <v>0</v>
      </c>
      <c r="T11" s="22"/>
      <c r="U11" s="22" t="str">
        <f ca="1"/>
        <v>(plein) 1969</v>
      </c>
      <c r="V11" s="22"/>
      <c r="W11" s="22" t="str">
        <f ca="1"/>
        <v>De Heuvel</v>
      </c>
      <c r="X11" s="22"/>
      <c r="Y11" s="22">
        <f ca="1"/>
        <v>0</v>
      </c>
      <c r="Z11" s="22"/>
      <c r="AA11" s="22" t="str">
        <f ca="1"/>
        <v>Nemerlaer</v>
      </c>
      <c r="AB11" s="22"/>
      <c r="AC11" s="22" t="str">
        <f ca="1"/>
        <v>(plein) 1969</v>
      </c>
      <c r="AD11" s="22"/>
      <c r="AE11" s="22" t="str">
        <f ca="1"/>
        <v>t Zand</v>
      </c>
      <c r="AF11" s="22"/>
      <c r="AG11" s="22" t="str">
        <f ca="1"/>
        <v>Piet de Visser</v>
      </c>
      <c r="AH11" s="22"/>
      <c r="AI11" s="22">
        <f ca="1"/>
        <v>0</v>
      </c>
      <c r="AJ11" s="22"/>
      <c r="AK11" s="22" t="str">
        <f ca="1"/>
        <v>Gorp en Roovert</v>
      </c>
      <c r="AL11" s="22"/>
      <c r="AM11" s="22" t="str">
        <f ca="1"/>
        <v>Paaspop</v>
      </c>
      <c r="AN11" s="22"/>
      <c r="AO11" s="22" t="str">
        <f ca="1"/>
        <v>Lies</v>
      </c>
      <c r="AP11" s="22"/>
      <c r="AQ11" s="22" t="str">
        <f ca="1"/>
        <v>De Blauwe Camer</v>
      </c>
      <c r="AR11" s="22"/>
    </row>
    <row r="12" spans="1:44" x14ac:dyDescent="0.25">
      <c r="A12" s="22" t="str">
        <f ca="1"/>
        <v>Sint Joris</v>
      </c>
      <c r="B12" s="22"/>
      <c r="C12" s="22">
        <f ca="1"/>
        <v>0</v>
      </c>
      <c r="D12" s="22"/>
      <c r="E12" s="22" t="str">
        <f ca="1"/>
        <v>Biestse Boulers</v>
      </c>
      <c r="F12" s="22"/>
      <c r="G12" s="22" t="str">
        <f ca="1"/>
        <v>Houdoe</v>
      </c>
      <c r="H12" s="22"/>
      <c r="I12" s="22" t="str">
        <f ca="1"/>
        <v>Michael van Gerwen</v>
      </c>
      <c r="J12" s="22"/>
      <c r="K12" s="22">
        <f ca="1"/>
        <v>0</v>
      </c>
      <c r="L12" s="22"/>
      <c r="M12" s="22" t="str">
        <f ca="1"/>
        <v>Ria Valk</v>
      </c>
      <c r="N12" s="22"/>
      <c r="O12" s="22" t="str">
        <f ca="1"/>
        <v>Ijzeren man</v>
      </c>
      <c r="P12" s="22"/>
      <c r="Q12" s="22" t="str">
        <f ca="1"/>
        <v>Wilhelminapark (WP)</v>
      </c>
      <c r="R12" s="22"/>
      <c r="S12" s="22">
        <f ca="1"/>
        <v>0</v>
      </c>
      <c r="T12" s="22"/>
      <c r="U12" s="22" t="str">
        <f ca="1"/>
        <v>Roze Maandag</v>
      </c>
      <c r="V12" s="22"/>
      <c r="W12" s="22" t="str">
        <f ca="1"/>
        <v>Drakenfontein</v>
      </c>
      <c r="X12" s="22"/>
      <c r="Y12" s="22">
        <f ca="1"/>
        <v>0</v>
      </c>
      <c r="Z12" s="22"/>
      <c r="AA12" s="22" t="str">
        <f ca="1"/>
        <v>Oss</v>
      </c>
      <c r="AB12" s="22"/>
      <c r="AC12" s="22" t="str">
        <f ca="1"/>
        <v>Vijfhuizen</v>
      </c>
      <c r="AD12" s="22"/>
      <c r="AE12" s="22" t="str">
        <f ca="1"/>
        <v>Vijfhuizen</v>
      </c>
      <c r="AF12" s="22"/>
      <c r="AG12" s="22" t="str">
        <f ca="1"/>
        <v>Ripasso</v>
      </c>
      <c r="AH12" s="22"/>
      <c r="AI12" s="22">
        <f ca="1"/>
        <v>0</v>
      </c>
      <c r="AJ12" s="22"/>
      <c r="AK12" s="22" t="str">
        <f ca="1"/>
        <v>Halve Zolen</v>
      </c>
      <c r="AL12" s="22"/>
      <c r="AM12" s="22" t="str">
        <f ca="1"/>
        <v>Paperclip</v>
      </c>
      <c r="AN12" s="22"/>
      <c r="AO12" s="22" t="str">
        <f ca="1"/>
        <v>Nieuw Vossemeer</v>
      </c>
      <c r="AP12" s="22"/>
      <c r="AQ12" s="22" t="str">
        <f ca="1"/>
        <v>De Brand (herberg)</v>
      </c>
      <c r="AR12" s="22"/>
    </row>
    <row r="13" spans="1:44" x14ac:dyDescent="0.25">
      <c r="A13" s="22">
        <f ca="1"/>
        <v>0</v>
      </c>
      <c r="B13" s="22"/>
      <c r="C13" s="22">
        <f ca="1"/>
        <v>0</v>
      </c>
      <c r="D13" s="22"/>
      <c r="E13" s="22" t="str">
        <f ca="1"/>
        <v>Binnen Dieze</v>
      </c>
      <c r="F13" s="22"/>
      <c r="G13" s="22" t="str">
        <f ca="1"/>
        <v>Hulsel</v>
      </c>
      <c r="H13" s="22"/>
      <c r="I13" s="22" t="str">
        <f ca="1"/>
        <v>Ria Valk</v>
      </c>
      <c r="J13" s="22"/>
      <c r="K13" s="22">
        <f ca="1"/>
        <v>0</v>
      </c>
      <c r="L13" s="22"/>
      <c r="M13" s="22" t="str">
        <f ca="1"/>
        <v>Schrobbelèr</v>
      </c>
      <c r="N13" s="22"/>
      <c r="O13" s="22" t="str">
        <f ca="1"/>
        <v>Lampegat</v>
      </c>
      <c r="P13" s="22"/>
      <c r="Q13" s="22">
        <f ca="1"/>
        <v>0</v>
      </c>
      <c r="R13" s="22"/>
      <c r="S13" s="22">
        <f ca="1"/>
        <v>0</v>
      </c>
      <c r="T13" s="22"/>
      <c r="U13" s="22" t="str">
        <f ca="1"/>
        <v>Schrobbelèr</v>
      </c>
      <c r="V13" s="22"/>
      <c r="W13" s="22" t="str">
        <f ca="1"/>
        <v>Ijzeren man</v>
      </c>
      <c r="X13" s="22"/>
      <c r="Y13" s="22">
        <f ca="1"/>
        <v>0</v>
      </c>
      <c r="Z13" s="22"/>
      <c r="AA13" s="22" t="str">
        <f ca="1"/>
        <v>Wouw</v>
      </c>
      <c r="AB13" s="22"/>
      <c r="AC13" s="22" t="str">
        <f ca="1"/>
        <v>7ende Hemel</v>
      </c>
      <c r="AD13" s="22"/>
      <c r="AE13" s="22" t="str">
        <f ca="1"/>
        <v>Winkel</v>
      </c>
      <c r="AF13" s="22"/>
      <c r="AG13" s="22" t="str">
        <f ca="1"/>
        <v>Van Roessel</v>
      </c>
      <c r="AH13" s="22"/>
      <c r="AI13" s="22">
        <f ca="1"/>
        <v>0</v>
      </c>
      <c r="AJ13" s="22"/>
      <c r="AK13" s="22" t="str">
        <f ca="1"/>
        <v>Heeswijk</v>
      </c>
      <c r="AL13" s="22"/>
      <c r="AM13" s="22" t="str">
        <f ca="1"/>
        <v>Roze Maandag</v>
      </c>
      <c r="AN13" s="22"/>
      <c r="AO13" s="22" t="str">
        <f ca="1"/>
        <v>Noordhoek</v>
      </c>
      <c r="AP13" s="22"/>
      <c r="AQ13" s="22" t="str">
        <f ca="1"/>
        <v>De Eeendracht</v>
      </c>
      <c r="AR13" s="22"/>
    </row>
    <row r="14" spans="1:44" x14ac:dyDescent="0.25">
      <c r="A14" s="22">
        <f ca="1"/>
        <v>0</v>
      </c>
      <c r="B14" s="22"/>
      <c r="C14" s="22">
        <f ca="1"/>
        <v>0</v>
      </c>
      <c r="D14" s="22"/>
      <c r="E14" s="22" t="str">
        <f ca="1"/>
        <v>Borghs</v>
      </c>
      <c r="F14" s="22"/>
      <c r="G14" s="22" t="str">
        <f ca="1"/>
        <v>Noenes</v>
      </c>
      <c r="H14" s="22"/>
      <c r="I14" s="22" t="str">
        <f ca="1"/>
        <v>Simon Tahamata</v>
      </c>
      <c r="J14" s="22"/>
      <c r="K14" s="22">
        <f ca="1"/>
        <v>0</v>
      </c>
      <c r="L14" s="22"/>
      <c r="M14" s="22" t="str">
        <f ca="1"/>
        <v>Strontrapers</v>
      </c>
      <c r="N14" s="22"/>
      <c r="O14" s="22" t="str">
        <f ca="1"/>
        <v>Pand P</v>
      </c>
      <c r="P14" s="22"/>
      <c r="Q14" s="22">
        <f ca="1"/>
        <v>0</v>
      </c>
      <c r="R14" s="22"/>
      <c r="S14" s="22">
        <f ca="1"/>
        <v>0</v>
      </c>
      <c r="T14" s="22"/>
      <c r="U14" s="22" t="str">
        <f ca="1"/>
        <v>t Blauwe Meer</v>
      </c>
      <c r="V14" s="22"/>
      <c r="W14" s="22" t="str">
        <f ca="1"/>
        <v>Moerputten</v>
      </c>
      <c r="X14" s="22"/>
      <c r="Y14" s="22">
        <f ca="1"/>
        <v>0</v>
      </c>
      <c r="Z14" s="22"/>
      <c r="AA14" s="22">
        <f ca="1"/>
        <v>0</v>
      </c>
      <c r="AB14" s="22"/>
      <c r="AC14" s="22">
        <f ca="1"/>
        <v>0</v>
      </c>
      <c r="AD14" s="22"/>
      <c r="AE14" s="22">
        <f ca="1"/>
        <v>0</v>
      </c>
      <c r="AF14" s="22"/>
      <c r="AG14" s="22">
        <f ca="1"/>
        <v>0</v>
      </c>
      <c r="AH14" s="22"/>
      <c r="AI14" s="22">
        <f ca="1"/>
        <v>0</v>
      </c>
      <c r="AJ14" s="22"/>
      <c r="AK14" s="22" t="str">
        <f ca="1"/>
        <v>Ijzeren man</v>
      </c>
      <c r="AL14" s="22"/>
      <c r="AM14" s="22" t="str">
        <f ca="1"/>
        <v>Wilhelminapark (WP)</v>
      </c>
      <c r="AN14" s="22"/>
      <c r="AO14" s="22" t="str">
        <f ca="1"/>
        <v>Papzakken</v>
      </c>
      <c r="AP14" s="22"/>
      <c r="AQ14" s="22" t="str">
        <f ca="1"/>
        <v>De Heuvel</v>
      </c>
      <c r="AR14" s="22"/>
    </row>
    <row r="15" spans="1:44" x14ac:dyDescent="0.25">
      <c r="A15" s="22">
        <f ca="1"/>
        <v>0</v>
      </c>
      <c r="B15" s="22"/>
      <c r="C15" s="22">
        <f ca="1"/>
        <v>0</v>
      </c>
      <c r="D15" s="22"/>
      <c r="E15" s="22" t="str">
        <f ca="1"/>
        <v>Borstbeeld Asselbergs (BA)</v>
      </c>
      <c r="F15" s="22"/>
      <c r="G15" s="22" t="str">
        <f ca="1"/>
        <v>Nuenen</v>
      </c>
      <c r="H15" s="22"/>
      <c r="I15" s="22" t="str">
        <f ca="1"/>
        <v>Van Geel</v>
      </c>
      <c r="J15" s="22"/>
      <c r="K15" s="22">
        <f ca="1"/>
        <v>0</v>
      </c>
      <c r="L15" s="22"/>
      <c r="M15" s="22" t="str">
        <f ca="1"/>
        <v>t Kruiken(plein)</v>
      </c>
      <c r="N15" s="22"/>
      <c r="O15" s="22" t="str">
        <f ca="1"/>
        <v>Paperclip</v>
      </c>
      <c r="P15" s="22"/>
      <c r="Q15" s="22">
        <f ca="1"/>
        <v>0</v>
      </c>
      <c r="R15" s="22"/>
      <c r="S15" s="22">
        <f ca="1"/>
        <v>0</v>
      </c>
      <c r="T15" s="22"/>
      <c r="U15" s="22" t="str">
        <f ca="1"/>
        <v>t Kruiken(plein)</v>
      </c>
      <c r="V15" s="22"/>
      <c r="W15" s="22" t="str">
        <f ca="1"/>
        <v>Nemerlaer</v>
      </c>
      <c r="X15" s="22"/>
      <c r="Y15" s="22">
        <f ca="1"/>
        <v>0</v>
      </c>
      <c r="Z15" s="22"/>
      <c r="AA15" s="22">
        <f ca="1"/>
        <v>0</v>
      </c>
      <c r="AB15" s="22"/>
      <c r="AC15" s="22">
        <f ca="1"/>
        <v>0</v>
      </c>
      <c r="AD15" s="22"/>
      <c r="AE15" s="22">
        <f ca="1"/>
        <v>0</v>
      </c>
      <c r="AF15" s="22"/>
      <c r="AG15" s="22">
        <f ca="1"/>
        <v>0</v>
      </c>
      <c r="AH15" s="22"/>
      <c r="AI15" s="22">
        <f ca="1"/>
        <v>0</v>
      </c>
      <c r="AJ15" s="22"/>
      <c r="AK15" s="22" t="str">
        <f ca="1"/>
        <v>Kampina</v>
      </c>
      <c r="AL15" s="22"/>
      <c r="AM15" s="22" t="str">
        <f ca="1"/>
        <v>Wintelre</v>
      </c>
      <c r="AN15" s="22"/>
      <c r="AO15" s="22" t="str">
        <f ca="1"/>
        <v>Ripasso</v>
      </c>
      <c r="AP15" s="22"/>
      <c r="AQ15" s="22" t="str">
        <f ca="1"/>
        <v>De Koepel</v>
      </c>
      <c r="AR15" s="22"/>
    </row>
    <row r="16" spans="1:44" x14ac:dyDescent="0.25">
      <c r="A16" s="22">
        <f ca="1"/>
        <v>0</v>
      </c>
      <c r="B16" s="22"/>
      <c r="C16" s="22">
        <f ca="1"/>
        <v>0</v>
      </c>
      <c r="D16" s="22"/>
      <c r="E16" s="22" t="str">
        <f ca="1"/>
        <v>Bossche Broek</v>
      </c>
      <c r="F16" s="22"/>
      <c r="G16" s="22" t="str">
        <f ca="1"/>
        <v>Papgat</v>
      </c>
      <c r="H16" s="22"/>
      <c r="I16" s="22" t="str">
        <f ca="1"/>
        <v>Van Roessel</v>
      </c>
      <c r="J16" s="22"/>
      <c r="K16" s="22">
        <f ca="1"/>
        <v>0</v>
      </c>
      <c r="L16" s="22"/>
      <c r="M16" s="22">
        <f ca="1"/>
        <v>0</v>
      </c>
      <c r="N16" s="22"/>
      <c r="O16" s="22" t="str">
        <f ca="1"/>
        <v>Ria Valk</v>
      </c>
      <c r="P16" s="22"/>
      <c r="Q16" s="22">
        <f ca="1"/>
        <v>0</v>
      </c>
      <c r="R16" s="22"/>
      <c r="S16" s="22">
        <f ca="1"/>
        <v>0</v>
      </c>
      <c r="T16" s="22"/>
      <c r="U16" s="22" t="str">
        <f ca="1"/>
        <v>t Zand</v>
      </c>
      <c r="V16" s="22"/>
      <c r="W16" s="22" t="str">
        <f ca="1"/>
        <v>Nieuw Vossemeer</v>
      </c>
      <c r="X16" s="22"/>
      <c r="Y16" s="22">
        <f ca="1"/>
        <v>0</v>
      </c>
      <c r="Z16" s="22"/>
      <c r="AA16" s="22">
        <f ca="1"/>
        <v>0</v>
      </c>
      <c r="AB16" s="22"/>
      <c r="AC16" s="22">
        <f ca="1"/>
        <v>0</v>
      </c>
      <c r="AD16" s="22"/>
      <c r="AE16" s="22">
        <f ca="1"/>
        <v>0</v>
      </c>
      <c r="AF16" s="22"/>
      <c r="AG16" s="22">
        <f ca="1"/>
        <v>0</v>
      </c>
      <c r="AH16" s="22"/>
      <c r="AI16" s="22">
        <f ca="1"/>
        <v>0</v>
      </c>
      <c r="AJ16" s="22"/>
      <c r="AK16" s="22" t="str">
        <f ca="1"/>
        <v>Moerputten</v>
      </c>
      <c r="AL16" s="22"/>
      <c r="AM16" s="22">
        <f ca="1"/>
        <v>0</v>
      </c>
      <c r="AN16" s="22"/>
      <c r="AO16" s="22" t="str">
        <f ca="1"/>
        <v>St. Willebrord</v>
      </c>
      <c r="AP16" s="22"/>
      <c r="AQ16" s="22" t="str">
        <f ca="1"/>
        <v>De Korenbloem</v>
      </c>
      <c r="AR16" s="22"/>
    </row>
    <row r="17" spans="1:44" x14ac:dyDescent="0.25">
      <c r="A17" s="22">
        <f ca="1"/>
        <v>0</v>
      </c>
      <c r="B17" s="22"/>
      <c r="C17" s="22">
        <f ca="1"/>
        <v>0</v>
      </c>
      <c r="D17" s="22"/>
      <c r="E17" s="22" t="str">
        <f ca="1"/>
        <v>Bouvigne</v>
      </c>
      <c r="F17" s="22"/>
      <c r="G17" s="22" t="str">
        <f ca="1"/>
        <v>Winkel</v>
      </c>
      <c r="H17" s="22"/>
      <c r="I17" s="22" t="str">
        <f ca="1"/>
        <v>Wim van Est</v>
      </c>
      <c r="J17" s="22"/>
      <c r="K17" s="22">
        <f ca="1"/>
        <v>0</v>
      </c>
      <c r="L17" s="22"/>
      <c r="M17" s="22">
        <f ca="1"/>
        <v>0</v>
      </c>
      <c r="N17" s="22"/>
      <c r="O17" s="22" t="str">
        <f ca="1"/>
        <v>Snuifscheppers (SFS)</v>
      </c>
      <c r="P17" s="22"/>
      <c r="Q17" s="22">
        <f ca="1"/>
        <v>0</v>
      </c>
      <c r="R17" s="22"/>
      <c r="S17" s="22">
        <f ca="1"/>
        <v>0</v>
      </c>
      <c r="T17" s="22"/>
      <c r="U17" s="22" t="str">
        <f ca="1"/>
        <v>Van Roessel</v>
      </c>
      <c r="V17" s="22"/>
      <c r="W17" s="22" t="str">
        <f ca="1"/>
        <v>Oosterplas</v>
      </c>
      <c r="X17" s="22"/>
      <c r="Y17" s="22">
        <f ca="1"/>
        <v>0</v>
      </c>
      <c r="Z17" s="22"/>
      <c r="AA17" s="22">
        <f ca="1"/>
        <v>0</v>
      </c>
      <c r="AB17" s="22"/>
      <c r="AC17" s="22">
        <f ca="1"/>
        <v>0</v>
      </c>
      <c r="AD17" s="22"/>
      <c r="AE17" s="22">
        <f ca="1"/>
        <v>0</v>
      </c>
      <c r="AF17" s="22"/>
      <c r="AG17" s="22">
        <f ca="1"/>
        <v>0</v>
      </c>
      <c r="AH17" s="22"/>
      <c r="AI17" s="22">
        <f ca="1"/>
        <v>0</v>
      </c>
      <c r="AJ17" s="22"/>
      <c r="AK17" s="22" t="str">
        <f ca="1"/>
        <v>Noenes</v>
      </c>
      <c r="AL17" s="22"/>
      <c r="AM17" s="22">
        <f ca="1"/>
        <v>0</v>
      </c>
      <c r="AN17" s="22"/>
      <c r="AO17" s="22" t="str">
        <f ca="1"/>
        <v>t Zand</v>
      </c>
      <c r="AP17" s="22"/>
      <c r="AQ17" s="22" t="str">
        <f ca="1"/>
        <v>De Leest</v>
      </c>
      <c r="AR17" s="22"/>
    </row>
    <row r="18" spans="1:44" x14ac:dyDescent="0.25">
      <c r="A18" s="22">
        <f ca="1"/>
        <v>0</v>
      </c>
      <c r="B18" s="22"/>
      <c r="C18" s="22">
        <f ca="1"/>
        <v>0</v>
      </c>
      <c r="D18" s="22"/>
      <c r="E18" s="22" t="str">
        <f ca="1"/>
        <v>Bram Braam</v>
      </c>
      <c r="F18" s="22"/>
      <c r="G18" s="22">
        <f ca="1"/>
        <v>0</v>
      </c>
      <c r="H18" s="22"/>
      <c r="I18" s="22">
        <f ca="1"/>
        <v>0</v>
      </c>
      <c r="J18" s="22"/>
      <c r="K18" s="22">
        <f ca="1"/>
        <v>0</v>
      </c>
      <c r="L18" s="22"/>
      <c r="M18" s="22">
        <f ca="1"/>
        <v>0</v>
      </c>
      <c r="N18" s="22"/>
      <c r="O18" s="22" t="str">
        <f ca="1"/>
        <v>Witte Dame</v>
      </c>
      <c r="P18" s="22"/>
      <c r="Q18" s="22">
        <f ca="1"/>
        <v>0</v>
      </c>
      <c r="R18" s="22"/>
      <c r="S18" s="22">
        <f ca="1"/>
        <v>0</v>
      </c>
      <c r="T18" s="22"/>
      <c r="U18" s="22" t="str">
        <f ca="1"/>
        <v>Vijfhuizen</v>
      </c>
      <c r="V18" s="22"/>
      <c r="W18" s="22" t="str">
        <f ca="1"/>
        <v>Piet de Visser</v>
      </c>
      <c r="X18" s="22"/>
      <c r="Y18" s="22">
        <f ca="1"/>
        <v>0</v>
      </c>
      <c r="Z18" s="22"/>
      <c r="AA18" s="22">
        <f ca="1"/>
        <v>0</v>
      </c>
      <c r="AB18" s="22"/>
      <c r="AC18" s="22">
        <f ca="1"/>
        <v>0</v>
      </c>
      <c r="AD18" s="22"/>
      <c r="AE18" s="22">
        <f ca="1"/>
        <v>0</v>
      </c>
      <c r="AF18" s="22"/>
      <c r="AG18" s="22">
        <f ca="1"/>
        <v>0</v>
      </c>
      <c r="AH18" s="22"/>
      <c r="AI18" s="22">
        <f ca="1"/>
        <v>0</v>
      </c>
      <c r="AJ18" s="22"/>
      <c r="AK18" s="22" t="str">
        <f ca="1"/>
        <v>Oosterplas</v>
      </c>
      <c r="AL18" s="22"/>
      <c r="AM18" s="22">
        <f ca="1"/>
        <v>0</v>
      </c>
      <c r="AN18" s="22"/>
      <c r="AO18" s="22" t="str">
        <f ca="1"/>
        <v>Wilhelminapark (WP)</v>
      </c>
      <c r="AP18" s="22"/>
      <c r="AQ18" s="22" t="str">
        <f ca="1"/>
        <v>De Zotte Mulders</v>
      </c>
      <c r="AR18" s="22"/>
    </row>
    <row r="19" spans="1:44" x14ac:dyDescent="0.25">
      <c r="A19" s="22">
        <f ca="1"/>
        <v>0</v>
      </c>
      <c r="B19" s="22"/>
      <c r="C19" s="22">
        <f ca="1"/>
        <v>0</v>
      </c>
      <c r="D19" s="22"/>
      <c r="E19" s="22" t="str">
        <f ca="1"/>
        <v>Broekhoven</v>
      </c>
      <c r="F19" s="22"/>
      <c r="G19" s="22">
        <f ca="1"/>
        <v>0</v>
      </c>
      <c r="H19" s="22"/>
      <c r="I19" s="22">
        <f ca="1"/>
        <v>0</v>
      </c>
      <c r="J19" s="22"/>
      <c r="K19" s="22">
        <f ca="1"/>
        <v>0</v>
      </c>
      <c r="L19" s="22"/>
      <c r="M19" s="22">
        <f ca="1"/>
        <v>0</v>
      </c>
      <c r="N19" s="22"/>
      <c r="O19" s="22">
        <f ca="1"/>
        <v>0</v>
      </c>
      <c r="P19" s="22"/>
      <c r="Q19" s="22">
        <f ca="1"/>
        <v>0</v>
      </c>
      <c r="R19" s="22"/>
      <c r="S19" s="22">
        <f ca="1"/>
        <v>0</v>
      </c>
      <c r="T19" s="22"/>
      <c r="U19" s="22" t="str">
        <f ca="1"/>
        <v>Westpoint</v>
      </c>
      <c r="V19" s="22"/>
      <c r="W19" s="22" t="str">
        <f ca="1"/>
        <v>Sint Agatha</v>
      </c>
      <c r="X19" s="22"/>
      <c r="Y19" s="22">
        <f ca="1"/>
        <v>0</v>
      </c>
      <c r="Z19" s="22"/>
      <c r="AA19" s="22">
        <f ca="1"/>
        <v>0</v>
      </c>
      <c r="AB19" s="22"/>
      <c r="AC19" s="22">
        <f ca="1"/>
        <v>0</v>
      </c>
      <c r="AD19" s="22"/>
      <c r="AE19" s="22">
        <f ca="1"/>
        <v>0</v>
      </c>
      <c r="AF19" s="22"/>
      <c r="AG19" s="22">
        <f ca="1"/>
        <v>0</v>
      </c>
      <c r="AH19" s="22"/>
      <c r="AI19" s="22">
        <f ca="1"/>
        <v>0</v>
      </c>
      <c r="AJ19" s="22"/>
      <c r="AK19" s="22" t="str">
        <f ca="1"/>
        <v>Venkraai</v>
      </c>
      <c r="AL19" s="22"/>
      <c r="AM19" s="22">
        <f ca="1"/>
        <v>0</v>
      </c>
      <c r="AN19" s="22"/>
      <c r="AO19" s="22" t="str">
        <f ca="1"/>
        <v>Wouw</v>
      </c>
      <c r="AP19" s="22"/>
      <c r="AQ19" s="22" t="str">
        <f ca="1"/>
        <v>Drakenfontein</v>
      </c>
      <c r="AR19" s="22"/>
    </row>
    <row r="20" spans="1:44" x14ac:dyDescent="0.25">
      <c r="A20" s="22">
        <f ca="1"/>
        <v>0</v>
      </c>
      <c r="B20" s="22"/>
      <c r="C20" s="22">
        <f ca="1"/>
        <v>0</v>
      </c>
      <c r="D20" s="22"/>
      <c r="E20" s="22" t="str">
        <f ca="1"/>
        <v>Bud Brocken</v>
      </c>
      <c r="F20" s="22"/>
      <c r="G20" s="22">
        <f ca="1"/>
        <v>0</v>
      </c>
      <c r="H20" s="22"/>
      <c r="I20" s="22">
        <f ca="1"/>
        <v>0</v>
      </c>
      <c r="J20" s="22"/>
      <c r="K20" s="22">
        <f ca="1"/>
        <v>0</v>
      </c>
      <c r="L20" s="22"/>
      <c r="M20" s="22">
        <f ca="1"/>
        <v>0</v>
      </c>
      <c r="N20" s="22"/>
      <c r="O20" s="22">
        <f ca="1"/>
        <v>0</v>
      </c>
      <c r="P20" s="22"/>
      <c r="Q20" s="22">
        <f ca="1"/>
        <v>0</v>
      </c>
      <c r="R20" s="22"/>
      <c r="S20" s="22">
        <f ca="1"/>
        <v>0</v>
      </c>
      <c r="T20" s="22"/>
      <c r="U20" s="22" t="str">
        <f ca="1"/>
        <v>Wilhelminapark (WP)</v>
      </c>
      <c r="V20" s="22"/>
      <c r="W20" s="22" t="str">
        <f ca="1"/>
        <v>t Blauwe Meer</v>
      </c>
      <c r="X20" s="22"/>
      <c r="Y20" s="22">
        <f ca="1"/>
        <v>0</v>
      </c>
      <c r="Z20" s="22"/>
      <c r="AA20" s="22">
        <f ca="1"/>
        <v>0</v>
      </c>
      <c r="AB20" s="22"/>
      <c r="AC20" s="22">
        <f ca="1"/>
        <v>0</v>
      </c>
      <c r="AD20" s="22"/>
      <c r="AE20" s="22">
        <f ca="1"/>
        <v>0</v>
      </c>
      <c r="AF20" s="22"/>
      <c r="AG20" s="22">
        <f ca="1"/>
        <v>0</v>
      </c>
      <c r="AH20" s="22"/>
      <c r="AI20" s="22">
        <f ca="1"/>
        <v>0</v>
      </c>
      <c r="AJ20" s="22"/>
      <c r="AK20" s="22" t="str">
        <f ca="1"/>
        <v>Wilhelminapark (WP)</v>
      </c>
      <c r="AL20" s="22"/>
      <c r="AM20" s="22">
        <f ca="1"/>
        <v>0</v>
      </c>
      <c r="AN20" s="22"/>
      <c r="AO20" s="22">
        <f ca="1"/>
        <v>0</v>
      </c>
      <c r="AP20" s="22"/>
      <c r="AQ20" s="22" t="str">
        <f ca="1"/>
        <v>Eersel</v>
      </c>
      <c r="AR20" s="22"/>
    </row>
    <row r="21" spans="1:44" x14ac:dyDescent="0.25">
      <c r="A21" s="22">
        <f ca="1"/>
        <v>0</v>
      </c>
      <c r="B21" s="22"/>
      <c r="C21" s="22">
        <f ca="1"/>
        <v>0</v>
      </c>
      <c r="D21" s="22"/>
      <c r="E21" s="22" t="str">
        <f ca="1"/>
        <v>De Blauwe Camer</v>
      </c>
      <c r="F21" s="22"/>
      <c r="G21" s="22">
        <f ca="1"/>
        <v>0</v>
      </c>
      <c r="H21" s="22"/>
      <c r="I21" s="22">
        <f ca="1"/>
        <v>0</v>
      </c>
      <c r="J21" s="22"/>
      <c r="K21" s="22">
        <f ca="1"/>
        <v>0</v>
      </c>
      <c r="L21" s="22"/>
      <c r="M21" s="22">
        <f ca="1"/>
        <v>0</v>
      </c>
      <c r="N21" s="22"/>
      <c r="O21" s="22">
        <f ca="1"/>
        <v>0</v>
      </c>
      <c r="P21" s="22"/>
      <c r="Q21" s="22">
        <f ca="1"/>
        <v>0</v>
      </c>
      <c r="R21" s="22"/>
      <c r="S21" s="22">
        <f ca="1"/>
        <v>0</v>
      </c>
      <c r="T21" s="22"/>
      <c r="U21" s="22">
        <f ca="1"/>
        <v>0</v>
      </c>
      <c r="V21" s="22"/>
      <c r="W21" s="22" t="str">
        <f ca="1"/>
        <v>t Zand</v>
      </c>
      <c r="X21" s="22"/>
      <c r="Y21" s="22">
        <f ca="1"/>
        <v>0</v>
      </c>
      <c r="Z21" s="22"/>
      <c r="AA21" s="22">
        <f ca="1"/>
        <v>0</v>
      </c>
      <c r="AB21" s="22"/>
      <c r="AC21" s="22">
        <f ca="1"/>
        <v>0</v>
      </c>
      <c r="AD21" s="22"/>
      <c r="AE21" s="22">
        <f ca="1"/>
        <v>0</v>
      </c>
      <c r="AF21" s="22"/>
      <c r="AG21" s="22">
        <f ca="1"/>
        <v>0</v>
      </c>
      <c r="AH21" s="22"/>
      <c r="AI21" s="22">
        <f ca="1"/>
        <v>0</v>
      </c>
      <c r="AJ21" s="22"/>
      <c r="AK21" s="22">
        <f ca="1"/>
        <v>0</v>
      </c>
      <c r="AL21" s="22"/>
      <c r="AM21" s="22">
        <f ca="1"/>
        <v>0</v>
      </c>
      <c r="AN21" s="22"/>
      <c r="AO21" s="22">
        <f ca="1"/>
        <v>0</v>
      </c>
      <c r="AP21" s="22"/>
      <c r="AQ21" s="22" t="str">
        <f ca="1"/>
        <v>Frits Spits</v>
      </c>
      <c r="AR21" s="22"/>
    </row>
    <row r="22" spans="1:44" x14ac:dyDescent="0.25">
      <c r="A22" s="22">
        <f ca="1"/>
        <v>0</v>
      </c>
      <c r="B22" s="22"/>
      <c r="C22" s="22">
        <f ca="1"/>
        <v>0</v>
      </c>
      <c r="D22" s="22"/>
      <c r="E22" s="22" t="str">
        <f ca="1"/>
        <v>De Brand (herberg)</v>
      </c>
      <c r="F22" s="22"/>
      <c r="G22" s="22">
        <f ca="1"/>
        <v>0</v>
      </c>
      <c r="H22" s="22"/>
      <c r="I22" s="22">
        <f ca="1"/>
        <v>0</v>
      </c>
      <c r="J22" s="22"/>
      <c r="K22" s="22">
        <f ca="1"/>
        <v>0</v>
      </c>
      <c r="L22" s="22"/>
      <c r="M22" s="22">
        <f ca="1"/>
        <v>0</v>
      </c>
      <c r="N22" s="22"/>
      <c r="O22" s="22">
        <f ca="1"/>
        <v>0</v>
      </c>
      <c r="P22" s="22"/>
      <c r="Q22" s="22">
        <f ca="1"/>
        <v>0</v>
      </c>
      <c r="R22" s="22"/>
      <c r="S22" s="22">
        <f ca="1"/>
        <v>0</v>
      </c>
      <c r="T22" s="22"/>
      <c r="U22" s="22">
        <f ca="1"/>
        <v>0</v>
      </c>
      <c r="V22" s="22"/>
      <c r="W22" s="22">
        <f ca="1"/>
        <v>0</v>
      </c>
      <c r="X22" s="22"/>
      <c r="Y22" s="22">
        <f ca="1"/>
        <v>0</v>
      </c>
      <c r="Z22" s="22"/>
      <c r="AA22" s="22">
        <f ca="1"/>
        <v>0</v>
      </c>
      <c r="AB22" s="22"/>
      <c r="AC22" s="22">
        <f ca="1"/>
        <v>0</v>
      </c>
      <c r="AD22" s="22"/>
      <c r="AE22" s="22">
        <f ca="1"/>
        <v>0</v>
      </c>
      <c r="AF22" s="22"/>
      <c r="AG22" s="22">
        <f ca="1"/>
        <v>0</v>
      </c>
      <c r="AH22" s="22"/>
      <c r="AI22" s="22">
        <f ca="1"/>
        <v>0</v>
      </c>
      <c r="AJ22" s="22"/>
      <c r="AK22" s="22">
        <f ca="1"/>
        <v>0</v>
      </c>
      <c r="AL22" s="22"/>
      <c r="AM22" s="22">
        <f ca="1"/>
        <v>0</v>
      </c>
      <c r="AN22" s="22"/>
      <c r="AO22" s="22">
        <f ca="1"/>
        <v>0</v>
      </c>
      <c r="AP22" s="22"/>
      <c r="AQ22" s="22" t="str">
        <f ca="1"/>
        <v>Frits Philips</v>
      </c>
      <c r="AR22" s="22"/>
    </row>
    <row r="23" spans="1:44" x14ac:dyDescent="0.25">
      <c r="A23" s="22">
        <f ca="1"/>
        <v>0</v>
      </c>
      <c r="B23" s="22"/>
      <c r="C23" s="22">
        <f ca="1"/>
        <v>0</v>
      </c>
      <c r="D23" s="22"/>
      <c r="E23" s="22" t="str">
        <f ca="1"/>
        <v>t Blauwe Meer</v>
      </c>
      <c r="F23" s="22"/>
      <c r="G23" s="22">
        <f ca="1"/>
        <v>0</v>
      </c>
      <c r="H23" s="22"/>
      <c r="I23" s="22">
        <f ca="1"/>
        <v>0</v>
      </c>
      <c r="J23" s="22"/>
      <c r="K23" s="22">
        <f ca="1"/>
        <v>0</v>
      </c>
      <c r="L23" s="22"/>
      <c r="M23" s="22">
        <f ca="1"/>
        <v>0</v>
      </c>
      <c r="N23" s="22"/>
      <c r="O23" s="22">
        <f ca="1"/>
        <v>0</v>
      </c>
      <c r="P23" s="22"/>
      <c r="Q23" s="22">
        <f ca="1"/>
        <v>0</v>
      </c>
      <c r="R23" s="22"/>
      <c r="S23" s="22">
        <f ca="1"/>
        <v>0</v>
      </c>
      <c r="T23" s="22"/>
      <c r="U23" s="22">
        <f ca="1"/>
        <v>0</v>
      </c>
      <c r="V23" s="22"/>
      <c r="W23" s="22">
        <f ca="1"/>
        <v>0</v>
      </c>
      <c r="X23" s="22"/>
      <c r="Y23" s="22">
        <f ca="1"/>
        <v>0</v>
      </c>
      <c r="Z23" s="22"/>
      <c r="AA23" s="22">
        <f ca="1"/>
        <v>0</v>
      </c>
      <c r="AB23" s="22"/>
      <c r="AC23" s="22">
        <f ca="1"/>
        <v>0</v>
      </c>
      <c r="AD23" s="22"/>
      <c r="AE23" s="22">
        <f ca="1"/>
        <v>0</v>
      </c>
      <c r="AF23" s="22"/>
      <c r="AG23" s="22">
        <f ca="1"/>
        <v>0</v>
      </c>
      <c r="AH23" s="22"/>
      <c r="AI23" s="22">
        <f ca="1"/>
        <v>0</v>
      </c>
      <c r="AJ23" s="22"/>
      <c r="AK23" s="22">
        <f ca="1"/>
        <v>0</v>
      </c>
      <c r="AL23" s="22"/>
      <c r="AM23" s="22">
        <f ca="1"/>
        <v>0</v>
      </c>
      <c r="AN23" s="22"/>
      <c r="AO23" s="22">
        <f ca="1"/>
        <v>0</v>
      </c>
      <c r="AP23" s="22"/>
      <c r="AQ23" s="22" t="str">
        <f ca="1"/>
        <v>Gorp en Roovert</v>
      </c>
      <c r="AR23" s="22"/>
    </row>
    <row r="24" spans="1:44" x14ac:dyDescent="0.25">
      <c r="A24" s="22">
        <f ca="1"/>
        <v>0</v>
      </c>
      <c r="B24" s="22"/>
      <c r="C24" s="22">
        <f ca="1"/>
        <v>0</v>
      </c>
      <c r="D24" s="22"/>
      <c r="E24" s="22">
        <f ca="1"/>
        <v>0</v>
      </c>
      <c r="F24" s="22"/>
      <c r="G24" s="22">
        <f ca="1"/>
        <v>0</v>
      </c>
      <c r="H24" s="22"/>
      <c r="I24" s="22">
        <f ca="1"/>
        <v>0</v>
      </c>
      <c r="J24" s="22"/>
      <c r="K24" s="22">
        <f ca="1"/>
        <v>0</v>
      </c>
      <c r="L24" s="22"/>
      <c r="M24" s="22">
        <f ca="1"/>
        <v>0</v>
      </c>
      <c r="N24" s="22"/>
      <c r="O24" s="22">
        <f ca="1"/>
        <v>0</v>
      </c>
      <c r="P24" s="22"/>
      <c r="Q24" s="22">
        <f ca="1"/>
        <v>0</v>
      </c>
      <c r="R24" s="22"/>
      <c r="S24" s="22">
        <f ca="1"/>
        <v>0</v>
      </c>
      <c r="T24" s="22"/>
      <c r="U24" s="22">
        <f ca="1"/>
        <v>0</v>
      </c>
      <c r="V24" s="22"/>
      <c r="W24" s="22">
        <f ca="1"/>
        <v>0</v>
      </c>
      <c r="X24" s="22"/>
      <c r="Y24" s="22">
        <f ca="1"/>
        <v>0</v>
      </c>
      <c r="Z24" s="22"/>
      <c r="AA24" s="22">
        <f ca="1"/>
        <v>0</v>
      </c>
      <c r="AB24" s="22"/>
      <c r="AC24" s="22">
        <f ca="1"/>
        <v>0</v>
      </c>
      <c r="AD24" s="22"/>
      <c r="AE24" s="22">
        <f ca="1"/>
        <v>0</v>
      </c>
      <c r="AF24" s="22"/>
      <c r="AG24" s="22">
        <f ca="1"/>
        <v>0</v>
      </c>
      <c r="AH24" s="22"/>
      <c r="AI24" s="22">
        <f ca="1"/>
        <v>0</v>
      </c>
      <c r="AJ24" s="22"/>
      <c r="AK24" s="22">
        <f ca="1"/>
        <v>0</v>
      </c>
      <c r="AL24" s="22"/>
      <c r="AM24" s="22">
        <f ca="1"/>
        <v>0</v>
      </c>
      <c r="AN24" s="22"/>
      <c r="AO24" s="22">
        <f ca="1"/>
        <v>0</v>
      </c>
      <c r="AP24" s="22"/>
      <c r="AQ24" s="22" t="str">
        <f ca="1"/>
        <v>Kruikezeiker</v>
      </c>
      <c r="AR24" s="22"/>
    </row>
    <row r="25" spans="1:44" x14ac:dyDescent="0.25">
      <c r="A25" s="22">
        <f ca="1"/>
        <v>0</v>
      </c>
      <c r="B25" s="22"/>
      <c r="C25" s="22">
        <f ca="1"/>
        <v>0</v>
      </c>
      <c r="D25" s="22"/>
      <c r="E25" s="22">
        <f ca="1"/>
        <v>0</v>
      </c>
      <c r="F25" s="22"/>
      <c r="G25" s="22">
        <f ca="1"/>
        <v>0</v>
      </c>
      <c r="H25" s="22"/>
      <c r="I25" s="22">
        <f ca="1"/>
        <v>0</v>
      </c>
      <c r="J25" s="22"/>
      <c r="K25" s="22">
        <f ca="1"/>
        <v>0</v>
      </c>
      <c r="L25" s="22"/>
      <c r="M25" s="22">
        <f ca="1"/>
        <v>0</v>
      </c>
      <c r="N25" s="22"/>
      <c r="O25" s="22">
        <f ca="1"/>
        <v>0</v>
      </c>
      <c r="P25" s="22"/>
      <c r="Q25" s="22">
        <f ca="1"/>
        <v>0</v>
      </c>
      <c r="R25" s="22"/>
      <c r="S25" s="22">
        <f ca="1"/>
        <v>0</v>
      </c>
      <c r="T25" s="22"/>
      <c r="U25" s="22">
        <f ca="1"/>
        <v>0</v>
      </c>
      <c r="V25" s="22"/>
      <c r="W25" s="22">
        <f ca="1"/>
        <v>0</v>
      </c>
      <c r="X25" s="22"/>
      <c r="Y25" s="22">
        <f ca="1"/>
        <v>0</v>
      </c>
      <c r="Z25" s="22"/>
      <c r="AA25" s="22">
        <f ca="1"/>
        <v>0</v>
      </c>
      <c r="AB25" s="22"/>
      <c r="AC25" s="22">
        <f ca="1"/>
        <v>0</v>
      </c>
      <c r="AD25" s="22"/>
      <c r="AE25" s="22">
        <f ca="1"/>
        <v>0</v>
      </c>
      <c r="AF25" s="22"/>
      <c r="AG25" s="22">
        <f ca="1"/>
        <v>0</v>
      </c>
      <c r="AH25" s="22"/>
      <c r="AI25" s="22">
        <f ca="1"/>
        <v>0</v>
      </c>
      <c r="AJ25" s="22"/>
      <c r="AK25" s="22">
        <f ca="1"/>
        <v>0</v>
      </c>
      <c r="AL25" s="22"/>
      <c r="AM25" s="22">
        <f ca="1"/>
        <v>0</v>
      </c>
      <c r="AN25" s="22"/>
      <c r="AO25" s="22">
        <f ca="1"/>
        <v>0</v>
      </c>
      <c r="AP25" s="22"/>
      <c r="AQ25" s="22" t="str">
        <f ca="1"/>
        <v>Lieve Lente</v>
      </c>
      <c r="AR25" s="22"/>
    </row>
    <row r="26" spans="1:44" x14ac:dyDescent="0.25">
      <c r="A26" s="22">
        <f ca="1"/>
        <v>0</v>
      </c>
      <c r="B26" s="22"/>
      <c r="C26" s="22">
        <f ca="1"/>
        <v>0</v>
      </c>
      <c r="D26" s="22"/>
      <c r="E26" s="22">
        <f ca="1"/>
        <v>0</v>
      </c>
      <c r="F26" s="22"/>
      <c r="G26" s="22">
        <f ca="1"/>
        <v>0</v>
      </c>
      <c r="H26" s="22"/>
      <c r="I26" s="22">
        <f ca="1"/>
        <v>0</v>
      </c>
      <c r="J26" s="22"/>
      <c r="K26" s="22">
        <f ca="1"/>
        <v>0</v>
      </c>
      <c r="L26" s="22"/>
      <c r="M26" s="22">
        <f ca="1"/>
        <v>0</v>
      </c>
      <c r="N26" s="22"/>
      <c r="O26" s="22">
        <f ca="1"/>
        <v>0</v>
      </c>
      <c r="P26" s="22"/>
      <c r="Q26" s="22">
        <f ca="1"/>
        <v>0</v>
      </c>
      <c r="R26" s="22"/>
      <c r="S26" s="22">
        <f ca="1"/>
        <v>0</v>
      </c>
      <c r="T26" s="22"/>
      <c r="U26" s="22">
        <f ca="1"/>
        <v>0</v>
      </c>
      <c r="V26" s="22"/>
      <c r="W26" s="22">
        <f ca="1"/>
        <v>0</v>
      </c>
      <c r="X26" s="22"/>
      <c r="Y26" s="22">
        <f ca="1"/>
        <v>0</v>
      </c>
      <c r="Z26" s="22"/>
      <c r="AA26" s="22">
        <f ca="1"/>
        <v>0</v>
      </c>
      <c r="AB26" s="22"/>
      <c r="AC26" s="22">
        <f ca="1"/>
        <v>0</v>
      </c>
      <c r="AD26" s="22"/>
      <c r="AE26" s="22">
        <f ca="1"/>
        <v>0</v>
      </c>
      <c r="AF26" s="22"/>
      <c r="AG26" s="22">
        <f ca="1"/>
        <v>0</v>
      </c>
      <c r="AH26" s="22"/>
      <c r="AI26" s="22">
        <f ca="1"/>
        <v>0</v>
      </c>
      <c r="AJ26" s="22"/>
      <c r="AK26" s="22">
        <f ca="1"/>
        <v>0</v>
      </c>
      <c r="AL26" s="22"/>
      <c r="AM26" s="22">
        <f ca="1"/>
        <v>0</v>
      </c>
      <c r="AN26" s="22"/>
      <c r="AO26" s="22">
        <f ca="1"/>
        <v>0</v>
      </c>
      <c r="AP26" s="22"/>
      <c r="AQ26" s="22" t="str">
        <f ca="1"/>
        <v>Michael van Gerwen</v>
      </c>
      <c r="AR26" s="22"/>
    </row>
    <row r="27" spans="1:44" x14ac:dyDescent="0.25">
      <c r="A27" s="22">
        <f ca="1"/>
        <v>0</v>
      </c>
      <c r="B27" s="22"/>
      <c r="C27" s="22">
        <f ca="1"/>
        <v>0</v>
      </c>
      <c r="D27" s="22"/>
      <c r="E27" s="22">
        <f ca="1"/>
        <v>0</v>
      </c>
      <c r="F27" s="22"/>
      <c r="G27" s="22">
        <f ca="1"/>
        <v>0</v>
      </c>
      <c r="H27" s="22"/>
      <c r="I27" s="22">
        <f ca="1"/>
        <v>0</v>
      </c>
      <c r="J27" s="22"/>
      <c r="K27" s="22">
        <f ca="1"/>
        <v>0</v>
      </c>
      <c r="L27" s="22"/>
      <c r="M27" s="22">
        <f ca="1"/>
        <v>0</v>
      </c>
      <c r="N27" s="22"/>
      <c r="O27" s="22">
        <f ca="1"/>
        <v>0</v>
      </c>
      <c r="P27" s="22"/>
      <c r="Q27" s="22">
        <f ca="1"/>
        <v>0</v>
      </c>
      <c r="R27" s="22"/>
      <c r="S27" s="22">
        <f ca="1"/>
        <v>0</v>
      </c>
      <c r="T27" s="22"/>
      <c r="U27" s="22">
        <f ca="1"/>
        <v>0</v>
      </c>
      <c r="V27" s="22"/>
      <c r="W27" s="22">
        <f ca="1"/>
        <v>0</v>
      </c>
      <c r="X27" s="22"/>
      <c r="Y27" s="22">
        <f ca="1"/>
        <v>0</v>
      </c>
      <c r="Z27" s="22"/>
      <c r="AA27" s="22">
        <f ca="1"/>
        <v>0</v>
      </c>
      <c r="AB27" s="22"/>
      <c r="AC27" s="22">
        <f ca="1"/>
        <v>0</v>
      </c>
      <c r="AD27" s="22"/>
      <c r="AE27" s="22">
        <f ca="1"/>
        <v>0</v>
      </c>
      <c r="AF27" s="22"/>
      <c r="AG27" s="22">
        <f ca="1"/>
        <v>0</v>
      </c>
      <c r="AH27" s="22"/>
      <c r="AI27" s="22">
        <f ca="1"/>
        <v>0</v>
      </c>
      <c r="AJ27" s="22"/>
      <c r="AK27" s="22">
        <f ca="1"/>
        <v>0</v>
      </c>
      <c r="AL27" s="22"/>
      <c r="AM27" s="22">
        <f ca="1"/>
        <v>0</v>
      </c>
      <c r="AN27" s="22"/>
      <c r="AO27" s="22">
        <f ca="1"/>
        <v>0</v>
      </c>
      <c r="AP27" s="22"/>
      <c r="AQ27" s="22" t="str">
        <f ca="1"/>
        <v>Nemerlaer</v>
      </c>
      <c r="AR27" s="22"/>
    </row>
    <row r="28" spans="1:44" x14ac:dyDescent="0.25">
      <c r="A28" s="22">
        <f ca="1"/>
        <v>0</v>
      </c>
      <c r="B28" s="22"/>
      <c r="C28" s="22">
        <f ca="1"/>
        <v>0</v>
      </c>
      <c r="D28" s="22"/>
      <c r="E28" s="22">
        <f ca="1"/>
        <v>0</v>
      </c>
      <c r="F28" s="22"/>
      <c r="G28" s="22">
        <f ca="1"/>
        <v>0</v>
      </c>
      <c r="H28" s="22"/>
      <c r="I28" s="22">
        <f ca="1"/>
        <v>0</v>
      </c>
      <c r="J28" s="22"/>
      <c r="K28" s="22">
        <f ca="1"/>
        <v>0</v>
      </c>
      <c r="L28" s="22"/>
      <c r="M28" s="22">
        <f ca="1"/>
        <v>0</v>
      </c>
      <c r="N28" s="22"/>
      <c r="O28" s="22">
        <f ca="1"/>
        <v>0</v>
      </c>
      <c r="P28" s="22"/>
      <c r="Q28" s="22">
        <f ca="1"/>
        <v>0</v>
      </c>
      <c r="R28" s="22"/>
      <c r="S28" s="22">
        <f ca="1"/>
        <v>0</v>
      </c>
      <c r="T28" s="22"/>
      <c r="U28" s="22">
        <f ca="1"/>
        <v>0</v>
      </c>
      <c r="V28" s="22"/>
      <c r="W28" s="22">
        <f ca="1"/>
        <v>0</v>
      </c>
      <c r="X28" s="22"/>
      <c r="Y28" s="22">
        <f ca="1"/>
        <v>0</v>
      </c>
      <c r="Z28" s="22"/>
      <c r="AA28" s="22">
        <f ca="1"/>
        <v>0</v>
      </c>
      <c r="AB28" s="22"/>
      <c r="AC28" s="22">
        <f ca="1"/>
        <v>0</v>
      </c>
      <c r="AD28" s="22"/>
      <c r="AE28" s="22">
        <f ca="1"/>
        <v>0</v>
      </c>
      <c r="AF28" s="22"/>
      <c r="AG28" s="22">
        <f ca="1"/>
        <v>0</v>
      </c>
      <c r="AH28" s="22"/>
      <c r="AI28" s="22">
        <f ca="1"/>
        <v>0</v>
      </c>
      <c r="AJ28" s="22"/>
      <c r="AK28" s="22">
        <f ca="1"/>
        <v>0</v>
      </c>
      <c r="AL28" s="22"/>
      <c r="AM28" s="22">
        <f ca="1"/>
        <v>0</v>
      </c>
      <c r="AN28" s="22"/>
      <c r="AO28" s="22">
        <f ca="1"/>
        <v>0</v>
      </c>
      <c r="AP28" s="22"/>
      <c r="AQ28" s="22" t="str">
        <f ca="1"/>
        <v>Noordhoek</v>
      </c>
      <c r="AR28" s="22"/>
    </row>
    <row r="29" spans="1:44" x14ac:dyDescent="0.25">
      <c r="A29" s="22">
        <f ca="1"/>
        <v>0</v>
      </c>
      <c r="B29" s="22"/>
      <c r="C29" s="22">
        <f ca="1"/>
        <v>0</v>
      </c>
      <c r="D29" s="22"/>
      <c r="E29" s="22">
        <f ca="1"/>
        <v>0</v>
      </c>
      <c r="F29" s="22"/>
      <c r="G29" s="22">
        <f ca="1"/>
        <v>0</v>
      </c>
      <c r="H29" s="22"/>
      <c r="I29" s="22">
        <f ca="1"/>
        <v>0</v>
      </c>
      <c r="J29" s="22"/>
      <c r="K29" s="22">
        <f ca="1"/>
        <v>0</v>
      </c>
      <c r="L29" s="22"/>
      <c r="M29" s="22">
        <f ca="1"/>
        <v>0</v>
      </c>
      <c r="N29" s="22"/>
      <c r="O29" s="22">
        <f ca="1"/>
        <v>0</v>
      </c>
      <c r="P29" s="22"/>
      <c r="Q29" s="22">
        <f ca="1"/>
        <v>0</v>
      </c>
      <c r="R29" s="22"/>
      <c r="S29" s="22">
        <f ca="1"/>
        <v>0</v>
      </c>
      <c r="T29" s="22"/>
      <c r="U29" s="22">
        <f ca="1"/>
        <v>0</v>
      </c>
      <c r="V29" s="22"/>
      <c r="W29" s="22">
        <f ca="1"/>
        <v>0</v>
      </c>
      <c r="X29" s="22"/>
      <c r="Y29" s="22">
        <f ca="1"/>
        <v>0</v>
      </c>
      <c r="Z29" s="22"/>
      <c r="AA29" s="22">
        <f ca="1"/>
        <v>0</v>
      </c>
      <c r="AB29" s="22"/>
      <c r="AC29" s="22">
        <f ca="1"/>
        <v>0</v>
      </c>
      <c r="AD29" s="22"/>
      <c r="AE29" s="22">
        <f ca="1"/>
        <v>0</v>
      </c>
      <c r="AF29" s="22"/>
      <c r="AG29" s="22">
        <f ca="1"/>
        <v>0</v>
      </c>
      <c r="AH29" s="22"/>
      <c r="AI29" s="22">
        <f ca="1"/>
        <v>0</v>
      </c>
      <c r="AJ29" s="22"/>
      <c r="AK29" s="22">
        <f ca="1"/>
        <v>0</v>
      </c>
      <c r="AL29" s="22"/>
      <c r="AM29" s="22">
        <f ca="1"/>
        <v>0</v>
      </c>
      <c r="AN29" s="22"/>
      <c r="AO29" s="22">
        <f ca="1"/>
        <v>0</v>
      </c>
      <c r="AP29" s="22"/>
      <c r="AQ29" s="22" t="str">
        <f ca="1"/>
        <v>Paaspop</v>
      </c>
      <c r="AR29" s="22"/>
    </row>
    <row r="30" spans="1:44" x14ac:dyDescent="0.25">
      <c r="A30" s="22">
        <f ca="1"/>
        <v>0</v>
      </c>
      <c r="B30" s="22"/>
      <c r="C30" s="22">
        <f ca="1"/>
        <v>0</v>
      </c>
      <c r="D30" s="22"/>
      <c r="E30" s="22">
        <f ca="1"/>
        <v>0</v>
      </c>
      <c r="F30" s="22"/>
      <c r="G30" s="22">
        <f ca="1"/>
        <v>0</v>
      </c>
      <c r="H30" s="22"/>
      <c r="I30" s="22">
        <f ca="1"/>
        <v>0</v>
      </c>
      <c r="J30" s="22"/>
      <c r="K30" s="22">
        <f ca="1"/>
        <v>0</v>
      </c>
      <c r="L30" s="22"/>
      <c r="M30" s="22">
        <f ca="1"/>
        <v>0</v>
      </c>
      <c r="N30" s="22"/>
      <c r="O30" s="22">
        <f ca="1"/>
        <v>0</v>
      </c>
      <c r="P30" s="22"/>
      <c r="Q30" s="22">
        <f ca="1"/>
        <v>0</v>
      </c>
      <c r="R30" s="22"/>
      <c r="S30" s="22">
        <f ca="1"/>
        <v>0</v>
      </c>
      <c r="T30" s="22"/>
      <c r="U30" s="22">
        <f ca="1"/>
        <v>0</v>
      </c>
      <c r="V30" s="22"/>
      <c r="W30" s="22">
        <f ca="1"/>
        <v>0</v>
      </c>
      <c r="X30" s="22"/>
      <c r="Y30" s="22">
        <f ca="1"/>
        <v>0</v>
      </c>
      <c r="Z30" s="22"/>
      <c r="AA30" s="22">
        <f ca="1"/>
        <v>0</v>
      </c>
      <c r="AB30" s="22"/>
      <c r="AC30" s="22">
        <f ca="1"/>
        <v>0</v>
      </c>
      <c r="AD30" s="22"/>
      <c r="AE30" s="22">
        <f ca="1"/>
        <v>0</v>
      </c>
      <c r="AF30" s="22"/>
      <c r="AG30" s="22">
        <f ca="1"/>
        <v>0</v>
      </c>
      <c r="AH30" s="22"/>
      <c r="AI30" s="22">
        <f ca="1"/>
        <v>0</v>
      </c>
      <c r="AJ30" s="22"/>
      <c r="AK30" s="22">
        <f ca="1"/>
        <v>0</v>
      </c>
      <c r="AL30" s="22"/>
      <c r="AM30" s="22">
        <f ca="1"/>
        <v>0</v>
      </c>
      <c r="AN30" s="22"/>
      <c r="AO30" s="22">
        <f ca="1"/>
        <v>0</v>
      </c>
      <c r="AP30" s="22"/>
      <c r="AQ30" s="22" t="str">
        <f ca="1"/>
        <v>Petrus en Paulus (PP)</v>
      </c>
      <c r="AR30" s="22"/>
    </row>
    <row r="31" spans="1:44" x14ac:dyDescent="0.25">
      <c r="A31" s="22">
        <f ca="1"/>
        <v>0</v>
      </c>
      <c r="B31" s="22"/>
      <c r="C31" s="22">
        <f ca="1"/>
        <v>0</v>
      </c>
      <c r="D31" s="22"/>
      <c r="E31" s="22">
        <f ca="1"/>
        <v>0</v>
      </c>
      <c r="F31" s="22"/>
      <c r="G31" s="22">
        <f ca="1"/>
        <v>0</v>
      </c>
      <c r="H31" s="22"/>
      <c r="I31" s="22">
        <f ca="1"/>
        <v>0</v>
      </c>
      <c r="J31" s="22"/>
      <c r="K31" s="22">
        <f ca="1"/>
        <v>0</v>
      </c>
      <c r="L31" s="22"/>
      <c r="M31" s="22">
        <f ca="1"/>
        <v>0</v>
      </c>
      <c r="N31" s="22"/>
      <c r="O31" s="22">
        <f ca="1"/>
        <v>0</v>
      </c>
      <c r="P31" s="22"/>
      <c r="Q31" s="22">
        <f ca="1"/>
        <v>0</v>
      </c>
      <c r="R31" s="22"/>
      <c r="S31" s="22">
        <f ca="1"/>
        <v>0</v>
      </c>
      <c r="T31" s="22"/>
      <c r="U31" s="22">
        <f ca="1"/>
        <v>0</v>
      </c>
      <c r="V31" s="22"/>
      <c r="W31" s="22">
        <f ca="1"/>
        <v>0</v>
      </c>
      <c r="X31" s="22"/>
      <c r="Y31" s="22">
        <f ca="1"/>
        <v>0</v>
      </c>
      <c r="Z31" s="22"/>
      <c r="AA31" s="22">
        <f ca="1"/>
        <v>0</v>
      </c>
      <c r="AB31" s="22"/>
      <c r="AC31" s="22">
        <f ca="1"/>
        <v>0</v>
      </c>
      <c r="AD31" s="22"/>
      <c r="AE31" s="22">
        <f ca="1"/>
        <v>0</v>
      </c>
      <c r="AF31" s="22"/>
      <c r="AG31" s="22">
        <f ca="1"/>
        <v>0</v>
      </c>
      <c r="AH31" s="22"/>
      <c r="AI31" s="22">
        <f ca="1"/>
        <v>0</v>
      </c>
      <c r="AJ31" s="22"/>
      <c r="AK31" s="22">
        <f ca="1"/>
        <v>0</v>
      </c>
      <c r="AL31" s="22"/>
      <c r="AM31" s="22">
        <f ca="1"/>
        <v>0</v>
      </c>
      <c r="AN31" s="22"/>
      <c r="AO31" s="22">
        <f ca="1"/>
        <v>0</v>
      </c>
      <c r="AP31" s="22"/>
      <c r="AQ31" s="22" t="str">
        <f ca="1"/>
        <v>Piet de Visser</v>
      </c>
      <c r="AR31" s="22"/>
    </row>
    <row r="32" spans="1:44" x14ac:dyDescent="0.25">
      <c r="A32" s="22">
        <f ca="1"/>
        <v>0</v>
      </c>
      <c r="B32" s="22"/>
      <c r="C32" s="22">
        <f ca="1"/>
        <v>0</v>
      </c>
      <c r="D32" s="22"/>
      <c r="E32" s="22">
        <f ca="1"/>
        <v>0</v>
      </c>
      <c r="F32" s="22"/>
      <c r="G32" s="22">
        <f ca="1"/>
        <v>0</v>
      </c>
      <c r="H32" s="22"/>
      <c r="I32" s="22">
        <f ca="1"/>
        <v>0</v>
      </c>
      <c r="J32" s="22"/>
      <c r="K32" s="22">
        <f ca="1"/>
        <v>0</v>
      </c>
      <c r="L32" s="22"/>
      <c r="M32" s="22">
        <f ca="1"/>
        <v>0</v>
      </c>
      <c r="N32" s="22"/>
      <c r="O32" s="22">
        <f ca="1"/>
        <v>0</v>
      </c>
      <c r="P32" s="22"/>
      <c r="Q32" s="22">
        <f ca="1"/>
        <v>0</v>
      </c>
      <c r="R32" s="22"/>
      <c r="S32" s="22">
        <f ca="1"/>
        <v>0</v>
      </c>
      <c r="T32" s="22"/>
      <c r="U32" s="22">
        <f ca="1"/>
        <v>0</v>
      </c>
      <c r="V32" s="22"/>
      <c r="W32" s="22">
        <f ca="1"/>
        <v>0</v>
      </c>
      <c r="X32" s="22"/>
      <c r="Y32" s="22">
        <f ca="1"/>
        <v>0</v>
      </c>
      <c r="Z32" s="22"/>
      <c r="AA32" s="22">
        <f ca="1"/>
        <v>0</v>
      </c>
      <c r="AB32" s="22"/>
      <c r="AC32" s="22">
        <f ca="1"/>
        <v>0</v>
      </c>
      <c r="AD32" s="22"/>
      <c r="AE32" s="22">
        <f ca="1"/>
        <v>0</v>
      </c>
      <c r="AF32" s="22"/>
      <c r="AG32" s="22">
        <f ca="1"/>
        <v>0</v>
      </c>
      <c r="AH32" s="22"/>
      <c r="AI32" s="22">
        <f ca="1"/>
        <v>0</v>
      </c>
      <c r="AJ32" s="22"/>
      <c r="AK32" s="22">
        <f ca="1"/>
        <v>0</v>
      </c>
      <c r="AL32" s="22"/>
      <c r="AM32" s="22">
        <f ca="1"/>
        <v>0</v>
      </c>
      <c r="AN32" s="22"/>
      <c r="AO32" s="22">
        <f ca="1"/>
        <v>0</v>
      </c>
      <c r="AP32" s="22"/>
      <c r="AQ32" s="22" t="str">
        <f ca="1"/>
        <v>Roel van Hemert</v>
      </c>
      <c r="AR32" s="22"/>
    </row>
    <row r="33" spans="1:44" x14ac:dyDescent="0.25">
      <c r="A33" s="22">
        <f ca="1"/>
        <v>0</v>
      </c>
      <c r="B33" s="22"/>
      <c r="C33" s="22">
        <f ca="1"/>
        <v>0</v>
      </c>
      <c r="D33" s="22"/>
      <c r="E33" s="22">
        <f ca="1"/>
        <v>0</v>
      </c>
      <c r="F33" s="22"/>
      <c r="G33" s="22">
        <f ca="1"/>
        <v>0</v>
      </c>
      <c r="H33" s="22"/>
      <c r="I33" s="22">
        <f ca="1"/>
        <v>0</v>
      </c>
      <c r="J33" s="22"/>
      <c r="K33" s="22">
        <f ca="1"/>
        <v>0</v>
      </c>
      <c r="L33" s="22"/>
      <c r="M33" s="22">
        <f ca="1"/>
        <v>0</v>
      </c>
      <c r="N33" s="22"/>
      <c r="O33" s="22">
        <f ca="1"/>
        <v>0</v>
      </c>
      <c r="P33" s="22"/>
      <c r="Q33" s="22">
        <f ca="1"/>
        <v>0</v>
      </c>
      <c r="R33" s="22"/>
      <c r="S33" s="22">
        <f ca="1"/>
        <v>0</v>
      </c>
      <c r="T33" s="22"/>
      <c r="U33" s="22">
        <f ca="1"/>
        <v>0</v>
      </c>
      <c r="V33" s="22"/>
      <c r="W33" s="22">
        <f ca="1"/>
        <v>0</v>
      </c>
      <c r="X33" s="22"/>
      <c r="Y33" s="22">
        <f ca="1"/>
        <v>0</v>
      </c>
      <c r="Z33" s="22"/>
      <c r="AA33" s="22">
        <f ca="1"/>
        <v>0</v>
      </c>
      <c r="AB33" s="22"/>
      <c r="AC33" s="22">
        <f ca="1"/>
        <v>0</v>
      </c>
      <c r="AD33" s="22"/>
      <c r="AE33" s="22">
        <f ca="1"/>
        <v>0</v>
      </c>
      <c r="AF33" s="22"/>
      <c r="AG33" s="22">
        <f ca="1"/>
        <v>0</v>
      </c>
      <c r="AH33" s="22"/>
      <c r="AI33" s="22">
        <f ca="1"/>
        <v>0</v>
      </c>
      <c r="AJ33" s="22"/>
      <c r="AK33" s="22">
        <f ca="1"/>
        <v>0</v>
      </c>
      <c r="AL33" s="22"/>
      <c r="AM33" s="22">
        <f ca="1"/>
        <v>0</v>
      </c>
      <c r="AN33" s="22"/>
      <c r="AO33" s="22">
        <f ca="1"/>
        <v>0</v>
      </c>
      <c r="AP33" s="22"/>
      <c r="AQ33" s="22" t="str">
        <f ca="1"/>
        <v>Roze Maandag</v>
      </c>
      <c r="AR33" s="22"/>
    </row>
    <row r="34" spans="1:44" x14ac:dyDescent="0.25">
      <c r="A34" s="22">
        <f ca="1"/>
        <v>0</v>
      </c>
      <c r="B34" s="22"/>
      <c r="C34" s="22">
        <f ca="1"/>
        <v>0</v>
      </c>
      <c r="D34" s="22"/>
      <c r="E34" s="22">
        <f ca="1"/>
        <v>0</v>
      </c>
      <c r="F34" s="22"/>
      <c r="G34" s="22">
        <f ca="1"/>
        <v>0</v>
      </c>
      <c r="H34" s="22"/>
      <c r="I34" s="22">
        <f ca="1"/>
        <v>0</v>
      </c>
      <c r="J34" s="22"/>
      <c r="K34" s="22">
        <f ca="1"/>
        <v>0</v>
      </c>
      <c r="L34" s="22"/>
      <c r="M34" s="22">
        <f ca="1"/>
        <v>0</v>
      </c>
      <c r="N34" s="22"/>
      <c r="O34" s="22">
        <f ca="1"/>
        <v>0</v>
      </c>
      <c r="P34" s="22"/>
      <c r="Q34" s="22">
        <f ca="1"/>
        <v>0</v>
      </c>
      <c r="R34" s="22"/>
      <c r="S34" s="22">
        <f ca="1"/>
        <v>0</v>
      </c>
      <c r="T34" s="22"/>
      <c r="U34" s="22">
        <f ca="1"/>
        <v>0</v>
      </c>
      <c r="V34" s="22"/>
      <c r="W34" s="22">
        <f ca="1"/>
        <v>0</v>
      </c>
      <c r="X34" s="22"/>
      <c r="Y34" s="22">
        <f ca="1"/>
        <v>0</v>
      </c>
      <c r="Z34" s="22"/>
      <c r="AA34" s="22">
        <f ca="1"/>
        <v>0</v>
      </c>
      <c r="AB34" s="22"/>
      <c r="AC34" s="22">
        <f ca="1"/>
        <v>0</v>
      </c>
      <c r="AD34" s="22"/>
      <c r="AE34" s="22">
        <f ca="1"/>
        <v>0</v>
      </c>
      <c r="AF34" s="22"/>
      <c r="AG34" s="22">
        <f ca="1"/>
        <v>0</v>
      </c>
      <c r="AH34" s="22"/>
      <c r="AI34" s="22">
        <f ca="1"/>
        <v>0</v>
      </c>
      <c r="AJ34" s="22"/>
      <c r="AK34" s="22">
        <f ca="1"/>
        <v>0</v>
      </c>
      <c r="AL34" s="22"/>
      <c r="AM34" s="22">
        <f ca="1"/>
        <v>0</v>
      </c>
      <c r="AN34" s="22"/>
      <c r="AO34" s="22">
        <f ca="1"/>
        <v>0</v>
      </c>
      <c r="AP34" s="22"/>
      <c r="AQ34" s="22" t="str">
        <f ca="1"/>
        <v>Simon Tahamata</v>
      </c>
      <c r="AR34" s="22"/>
    </row>
    <row r="35" spans="1:44" x14ac:dyDescent="0.25">
      <c r="A35" s="22">
        <f ca="1"/>
        <v>0</v>
      </c>
      <c r="B35" s="22"/>
      <c r="C35" s="22">
        <f ca="1"/>
        <v>0</v>
      </c>
      <c r="D35" s="22"/>
      <c r="E35" s="22">
        <f ca="1"/>
        <v>0</v>
      </c>
      <c r="F35" s="22"/>
      <c r="G35" s="22">
        <f ca="1"/>
        <v>0</v>
      </c>
      <c r="H35" s="22"/>
      <c r="I35" s="22">
        <f ca="1"/>
        <v>0</v>
      </c>
      <c r="J35" s="22"/>
      <c r="K35" s="22">
        <f ca="1"/>
        <v>0</v>
      </c>
      <c r="L35" s="22"/>
      <c r="M35" s="22">
        <f ca="1"/>
        <v>0</v>
      </c>
      <c r="N35" s="22"/>
      <c r="O35" s="22">
        <f ca="1"/>
        <v>0</v>
      </c>
      <c r="P35" s="22"/>
      <c r="Q35" s="22">
        <f ca="1"/>
        <v>0</v>
      </c>
      <c r="R35" s="22"/>
      <c r="S35" s="22">
        <f ca="1"/>
        <v>0</v>
      </c>
      <c r="T35" s="22"/>
      <c r="U35" s="22">
        <f ca="1"/>
        <v>0</v>
      </c>
      <c r="V35" s="22"/>
      <c r="W35" s="22">
        <f ca="1"/>
        <v>0</v>
      </c>
      <c r="X35" s="22"/>
      <c r="Y35" s="22">
        <f ca="1"/>
        <v>0</v>
      </c>
      <c r="Z35" s="22"/>
      <c r="AA35" s="22">
        <f ca="1"/>
        <v>0</v>
      </c>
      <c r="AB35" s="22"/>
      <c r="AC35" s="22">
        <f ca="1"/>
        <v>0</v>
      </c>
      <c r="AD35" s="22"/>
      <c r="AE35" s="22">
        <f ca="1"/>
        <v>0</v>
      </c>
      <c r="AF35" s="22"/>
      <c r="AG35" s="22">
        <f ca="1"/>
        <v>0</v>
      </c>
      <c r="AH35" s="22"/>
      <c r="AI35" s="22">
        <f ca="1"/>
        <v>0</v>
      </c>
      <c r="AJ35" s="22"/>
      <c r="AK35" s="22">
        <f ca="1"/>
        <v>0</v>
      </c>
      <c r="AL35" s="22"/>
      <c r="AM35" s="22">
        <f ca="1"/>
        <v>0</v>
      </c>
      <c r="AN35" s="22"/>
      <c r="AO35" s="22">
        <f ca="1"/>
        <v>0</v>
      </c>
      <c r="AP35" s="22"/>
      <c r="AQ35" s="22" t="str">
        <f ca="1"/>
        <v>Sint Agatha</v>
      </c>
      <c r="AR35" s="22"/>
    </row>
    <row r="36" spans="1:44" x14ac:dyDescent="0.25">
      <c r="A36" s="22">
        <f ca="1"/>
        <v>0</v>
      </c>
      <c r="B36" s="22"/>
      <c r="C36" s="22">
        <f ca="1"/>
        <v>0</v>
      </c>
      <c r="D36" s="22"/>
      <c r="E36" s="22">
        <f ca="1"/>
        <v>0</v>
      </c>
      <c r="F36" s="22"/>
      <c r="G36" s="22">
        <f ca="1"/>
        <v>0</v>
      </c>
      <c r="H36" s="22"/>
      <c r="I36" s="22">
        <f ca="1"/>
        <v>0</v>
      </c>
      <c r="J36" s="22"/>
      <c r="K36" s="22">
        <f ca="1"/>
        <v>0</v>
      </c>
      <c r="L36" s="22"/>
      <c r="M36" s="22">
        <f ca="1"/>
        <v>0</v>
      </c>
      <c r="N36" s="22"/>
      <c r="O36" s="22">
        <f ca="1"/>
        <v>0</v>
      </c>
      <c r="P36" s="22"/>
      <c r="Q36" s="22">
        <f ca="1"/>
        <v>0</v>
      </c>
      <c r="R36" s="22"/>
      <c r="S36" s="22">
        <f ca="1"/>
        <v>0</v>
      </c>
      <c r="T36" s="22"/>
      <c r="U36" s="22">
        <f ca="1"/>
        <v>0</v>
      </c>
      <c r="V36" s="22"/>
      <c r="W36" s="22">
        <f ca="1"/>
        <v>0</v>
      </c>
      <c r="X36" s="22"/>
      <c r="Y36" s="22">
        <f ca="1"/>
        <v>0</v>
      </c>
      <c r="Z36" s="22"/>
      <c r="AA36" s="22">
        <f ca="1"/>
        <v>0</v>
      </c>
      <c r="AB36" s="22"/>
      <c r="AC36" s="22">
        <f ca="1"/>
        <v>0</v>
      </c>
      <c r="AD36" s="22"/>
      <c r="AE36" s="22">
        <f ca="1"/>
        <v>0</v>
      </c>
      <c r="AF36" s="22"/>
      <c r="AG36" s="22">
        <f ca="1"/>
        <v>0</v>
      </c>
      <c r="AH36" s="22"/>
      <c r="AI36" s="22">
        <f ca="1"/>
        <v>0</v>
      </c>
      <c r="AJ36" s="22"/>
      <c r="AK36" s="22">
        <f ca="1"/>
        <v>0</v>
      </c>
      <c r="AL36" s="22"/>
      <c r="AM36" s="22">
        <f ca="1"/>
        <v>0</v>
      </c>
      <c r="AN36" s="22"/>
      <c r="AO36" s="22">
        <f ca="1"/>
        <v>0</v>
      </c>
      <c r="AP36" s="22"/>
      <c r="AQ36" s="22" t="str">
        <f ca="1"/>
        <v>Sint Anthonis</v>
      </c>
      <c r="AR36" s="22"/>
    </row>
    <row r="37" spans="1:44" x14ac:dyDescent="0.25">
      <c r="A37" s="22">
        <f ca="1"/>
        <v>0</v>
      </c>
      <c r="B37" s="22"/>
      <c r="C37" s="22">
        <f ca="1"/>
        <v>0</v>
      </c>
      <c r="D37" s="22"/>
      <c r="E37" s="22">
        <f ca="1"/>
        <v>0</v>
      </c>
      <c r="F37" s="22"/>
      <c r="G37" s="22">
        <f ca="1"/>
        <v>0</v>
      </c>
      <c r="H37" s="22"/>
      <c r="I37" s="22">
        <f ca="1"/>
        <v>0</v>
      </c>
      <c r="J37" s="22"/>
      <c r="K37" s="22">
        <f ca="1"/>
        <v>0</v>
      </c>
      <c r="L37" s="22"/>
      <c r="M37" s="22">
        <f ca="1"/>
        <v>0</v>
      </c>
      <c r="N37" s="22"/>
      <c r="O37" s="22">
        <f ca="1"/>
        <v>0</v>
      </c>
      <c r="P37" s="22"/>
      <c r="Q37" s="22">
        <f ca="1"/>
        <v>0</v>
      </c>
      <c r="R37" s="22"/>
      <c r="S37" s="22">
        <f ca="1"/>
        <v>0</v>
      </c>
      <c r="T37" s="22"/>
      <c r="U37" s="22">
        <f ca="1"/>
        <v>0</v>
      </c>
      <c r="V37" s="22"/>
      <c r="W37" s="22">
        <f ca="1"/>
        <v>0</v>
      </c>
      <c r="X37" s="22"/>
      <c r="Y37" s="22">
        <f ca="1"/>
        <v>0</v>
      </c>
      <c r="Z37" s="22"/>
      <c r="AA37" s="22">
        <f ca="1"/>
        <v>0</v>
      </c>
      <c r="AB37" s="22"/>
      <c r="AC37" s="22">
        <f ca="1"/>
        <v>0</v>
      </c>
      <c r="AD37" s="22"/>
      <c r="AE37" s="22">
        <f ca="1"/>
        <v>0</v>
      </c>
      <c r="AF37" s="22"/>
      <c r="AG37" s="22">
        <f ca="1"/>
        <v>0</v>
      </c>
      <c r="AH37" s="22"/>
      <c r="AI37" s="22">
        <f ca="1"/>
        <v>0</v>
      </c>
      <c r="AJ37" s="22"/>
      <c r="AK37" s="22">
        <f ca="1"/>
        <v>0</v>
      </c>
      <c r="AL37" s="22"/>
      <c r="AM37" s="22">
        <f ca="1"/>
        <v>0</v>
      </c>
      <c r="AN37" s="22"/>
      <c r="AO37" s="22">
        <f ca="1"/>
        <v>0</v>
      </c>
      <c r="AP37" s="22"/>
      <c r="AQ37" s="22" t="str">
        <f ca="1"/>
        <v>Sint Juttemis</v>
      </c>
      <c r="AR37" s="22"/>
    </row>
    <row r="38" spans="1:44" x14ac:dyDescent="0.25">
      <c r="A38" s="22">
        <f ca="1"/>
        <v>0</v>
      </c>
      <c r="B38" s="22"/>
      <c r="C38" s="22">
        <f ca="1"/>
        <v>0</v>
      </c>
      <c r="D38" s="22"/>
      <c r="E38" s="22">
        <f ca="1"/>
        <v>0</v>
      </c>
      <c r="F38" s="22"/>
      <c r="G38" s="22">
        <f ca="1"/>
        <v>0</v>
      </c>
      <c r="H38" s="22"/>
      <c r="I38" s="22">
        <f ca="1"/>
        <v>0</v>
      </c>
      <c r="J38" s="22"/>
      <c r="K38" s="22">
        <f ca="1"/>
        <v>0</v>
      </c>
      <c r="L38" s="22"/>
      <c r="M38" s="22">
        <f ca="1"/>
        <v>0</v>
      </c>
      <c r="N38" s="22"/>
      <c r="O38" s="22">
        <f ca="1"/>
        <v>0</v>
      </c>
      <c r="P38" s="22"/>
      <c r="Q38" s="22">
        <f ca="1"/>
        <v>0</v>
      </c>
      <c r="R38" s="22"/>
      <c r="S38" s="22">
        <f ca="1"/>
        <v>0</v>
      </c>
      <c r="T38" s="22"/>
      <c r="U38" s="22">
        <f ca="1"/>
        <v>0</v>
      </c>
      <c r="V38" s="22"/>
      <c r="W38" s="22">
        <f ca="1"/>
        <v>0</v>
      </c>
      <c r="X38" s="22"/>
      <c r="Y38" s="22">
        <f ca="1"/>
        <v>0</v>
      </c>
      <c r="Z38" s="22"/>
      <c r="AA38" s="22">
        <f ca="1"/>
        <v>0</v>
      </c>
      <c r="AB38" s="22"/>
      <c r="AC38" s="22">
        <f ca="1"/>
        <v>0</v>
      </c>
      <c r="AD38" s="22"/>
      <c r="AE38" s="22">
        <f ca="1"/>
        <v>0</v>
      </c>
      <c r="AF38" s="22"/>
      <c r="AG38" s="22">
        <f ca="1"/>
        <v>0</v>
      </c>
      <c r="AH38" s="22"/>
      <c r="AI38" s="22">
        <f ca="1"/>
        <v>0</v>
      </c>
      <c r="AJ38" s="22"/>
      <c r="AK38" s="22">
        <f ca="1"/>
        <v>0</v>
      </c>
      <c r="AL38" s="22"/>
      <c r="AM38" s="22">
        <f ca="1"/>
        <v>0</v>
      </c>
      <c r="AN38" s="22"/>
      <c r="AO38" s="22">
        <f ca="1"/>
        <v>0</v>
      </c>
      <c r="AP38" s="22"/>
      <c r="AQ38" s="22" t="str">
        <f ca="1"/>
        <v>Snuifscheppers (SFS)</v>
      </c>
      <c r="AR38" s="22"/>
    </row>
    <row r="39" spans="1:44" x14ac:dyDescent="0.25">
      <c r="A39" s="22">
        <f ca="1"/>
        <v>0</v>
      </c>
      <c r="B39" s="22"/>
      <c r="C39" s="22">
        <f ca="1"/>
        <v>0</v>
      </c>
      <c r="D39" s="22"/>
      <c r="E39" s="22">
        <f ca="1"/>
        <v>0</v>
      </c>
      <c r="F39" s="22"/>
      <c r="G39" s="22">
        <f ca="1"/>
        <v>0</v>
      </c>
      <c r="H39" s="22"/>
      <c r="I39" s="22">
        <f ca="1"/>
        <v>0</v>
      </c>
      <c r="J39" s="22"/>
      <c r="K39" s="22">
        <f ca="1"/>
        <v>0</v>
      </c>
      <c r="L39" s="22"/>
      <c r="M39" s="22">
        <f ca="1"/>
        <v>0</v>
      </c>
      <c r="N39" s="22"/>
      <c r="O39" s="22">
        <f ca="1"/>
        <v>0</v>
      </c>
      <c r="P39" s="22"/>
      <c r="Q39" s="22">
        <f ca="1"/>
        <v>0</v>
      </c>
      <c r="R39" s="22"/>
      <c r="S39" s="22">
        <f ca="1"/>
        <v>0</v>
      </c>
      <c r="T39" s="22"/>
      <c r="U39" s="22">
        <f ca="1"/>
        <v>0</v>
      </c>
      <c r="V39" s="22"/>
      <c r="W39" s="22">
        <f ca="1"/>
        <v>0</v>
      </c>
      <c r="X39" s="22"/>
      <c r="Y39" s="22">
        <f ca="1"/>
        <v>0</v>
      </c>
      <c r="Z39" s="22"/>
      <c r="AA39" s="22">
        <f ca="1"/>
        <v>0</v>
      </c>
      <c r="AB39" s="22"/>
      <c r="AC39" s="22">
        <f ca="1"/>
        <v>0</v>
      </c>
      <c r="AD39" s="22"/>
      <c r="AE39" s="22">
        <f ca="1"/>
        <v>0</v>
      </c>
      <c r="AF39" s="22"/>
      <c r="AG39" s="22">
        <f ca="1"/>
        <v>0</v>
      </c>
      <c r="AH39" s="22"/>
      <c r="AI39" s="22">
        <f ca="1"/>
        <v>0</v>
      </c>
      <c r="AJ39" s="22"/>
      <c r="AK39" s="22">
        <f ca="1"/>
        <v>0</v>
      </c>
      <c r="AL39" s="22"/>
      <c r="AM39" s="22">
        <f ca="1"/>
        <v>0</v>
      </c>
      <c r="AN39" s="22"/>
      <c r="AO39" s="22">
        <f ca="1"/>
        <v>0</v>
      </c>
      <c r="AP39" s="22"/>
      <c r="AQ39" s="22" t="str">
        <f ca="1"/>
        <v>t Blauwe Meer</v>
      </c>
      <c r="AR39" s="22"/>
    </row>
    <row r="40" spans="1:44" x14ac:dyDescent="0.25">
      <c r="A40" s="22">
        <f ca="1"/>
        <v>0</v>
      </c>
      <c r="B40" s="22"/>
      <c r="C40" s="22">
        <f ca="1"/>
        <v>0</v>
      </c>
      <c r="D40" s="22"/>
      <c r="E40" s="22">
        <f ca="1"/>
        <v>0</v>
      </c>
      <c r="F40" s="22"/>
      <c r="G40" s="22">
        <f ca="1"/>
        <v>0</v>
      </c>
      <c r="H40" s="22"/>
      <c r="I40" s="22">
        <f ca="1"/>
        <v>0</v>
      </c>
      <c r="J40" s="22"/>
      <c r="K40" s="22">
        <f ca="1"/>
        <v>0</v>
      </c>
      <c r="L40" s="22"/>
      <c r="M40" s="22">
        <f ca="1"/>
        <v>0</v>
      </c>
      <c r="N40" s="22"/>
      <c r="O40" s="22">
        <f ca="1"/>
        <v>0</v>
      </c>
      <c r="P40" s="22"/>
      <c r="Q40" s="22">
        <f ca="1"/>
        <v>0</v>
      </c>
      <c r="R40" s="22"/>
      <c r="S40" s="22">
        <f ca="1"/>
        <v>0</v>
      </c>
      <c r="T40" s="22"/>
      <c r="U40" s="22">
        <f ca="1"/>
        <v>0</v>
      </c>
      <c r="V40" s="22"/>
      <c r="W40" s="22">
        <f ca="1"/>
        <v>0</v>
      </c>
      <c r="X40" s="22"/>
      <c r="Y40" s="22">
        <f ca="1"/>
        <v>0</v>
      </c>
      <c r="Z40" s="22"/>
      <c r="AA40" s="22">
        <f ca="1"/>
        <v>0</v>
      </c>
      <c r="AB40" s="22"/>
      <c r="AC40" s="22">
        <f ca="1"/>
        <v>0</v>
      </c>
      <c r="AD40" s="22"/>
      <c r="AE40" s="22">
        <f ca="1"/>
        <v>0</v>
      </c>
      <c r="AF40" s="22"/>
      <c r="AG40" s="22">
        <f ca="1"/>
        <v>0</v>
      </c>
      <c r="AH40" s="22"/>
      <c r="AI40" s="22">
        <f ca="1"/>
        <v>0</v>
      </c>
      <c r="AJ40" s="22"/>
      <c r="AK40" s="22">
        <f ca="1"/>
        <v>0</v>
      </c>
      <c r="AL40" s="22"/>
      <c r="AM40" s="22">
        <f ca="1"/>
        <v>0</v>
      </c>
      <c r="AN40" s="22"/>
      <c r="AO40" s="22">
        <f ca="1"/>
        <v>0</v>
      </c>
      <c r="AP40" s="22"/>
      <c r="AQ40" s="22" t="str">
        <f ca="1"/>
        <v>Worstenbroodje (WB)</v>
      </c>
      <c r="AR40" s="22"/>
    </row>
    <row r="41" spans="1:44" x14ac:dyDescent="0.25">
      <c r="A41" s="22">
        <f ca="1"/>
        <v>0</v>
      </c>
      <c r="B41" s="22"/>
      <c r="C41" s="22">
        <f ca="1"/>
        <v>0</v>
      </c>
      <c r="D41" s="22"/>
      <c r="E41" s="22">
        <f ca="1"/>
        <v>0</v>
      </c>
      <c r="F41" s="22"/>
      <c r="G41" s="22">
        <f ca="1"/>
        <v>0</v>
      </c>
      <c r="H41" s="22"/>
      <c r="I41" s="22">
        <f ca="1"/>
        <v>0</v>
      </c>
      <c r="J41" s="22"/>
      <c r="K41" s="22">
        <f ca="1"/>
        <v>0</v>
      </c>
      <c r="L41" s="22"/>
      <c r="M41" s="22">
        <f ca="1"/>
        <v>0</v>
      </c>
      <c r="N41" s="22"/>
      <c r="O41" s="22">
        <f ca="1"/>
        <v>0</v>
      </c>
      <c r="P41" s="22"/>
      <c r="Q41" s="22">
        <f ca="1"/>
        <v>0</v>
      </c>
      <c r="R41" s="22"/>
      <c r="S41" s="22">
        <f ca="1"/>
        <v>0</v>
      </c>
      <c r="T41" s="22"/>
      <c r="U41" s="22">
        <f ca="1"/>
        <v>0</v>
      </c>
      <c r="V41" s="22"/>
      <c r="W41" s="22">
        <f ca="1"/>
        <v>0</v>
      </c>
      <c r="X41" s="22"/>
      <c r="Y41" s="22">
        <f ca="1"/>
        <v>0</v>
      </c>
      <c r="Z41" s="22"/>
      <c r="AA41" s="22">
        <f ca="1"/>
        <v>0</v>
      </c>
      <c r="AB41" s="22"/>
      <c r="AC41" s="22">
        <f ca="1"/>
        <v>0</v>
      </c>
      <c r="AD41" s="22"/>
      <c r="AE41" s="22">
        <f ca="1"/>
        <v>0</v>
      </c>
      <c r="AF41" s="22"/>
      <c r="AG41" s="22">
        <f ca="1"/>
        <v>0</v>
      </c>
      <c r="AH41" s="22"/>
      <c r="AI41" s="22">
        <f ca="1"/>
        <v>0</v>
      </c>
      <c r="AJ41" s="22"/>
      <c r="AK41" s="22">
        <f ca="1"/>
        <v>0</v>
      </c>
      <c r="AL41" s="22"/>
      <c r="AM41" s="22">
        <f ca="1"/>
        <v>0</v>
      </c>
      <c r="AN41" s="22"/>
      <c r="AO41" s="22">
        <f ca="1"/>
        <v>0</v>
      </c>
      <c r="AP41" s="22"/>
      <c r="AQ41" s="22" t="str">
        <f ca="1"/>
        <v>7ende Hemel</v>
      </c>
      <c r="AR41" s="22"/>
    </row>
    <row r="42" spans="1:44" x14ac:dyDescent="0.25">
      <c r="A42" s="22">
        <f ca="1"/>
        <v>0</v>
      </c>
      <c r="B42" s="22"/>
      <c r="C42" s="22">
        <f ca="1"/>
        <v>0</v>
      </c>
      <c r="D42" s="22"/>
      <c r="E42" s="22">
        <f ca="1"/>
        <v>0</v>
      </c>
      <c r="F42" s="22"/>
      <c r="G42" s="22">
        <f ca="1"/>
        <v>0</v>
      </c>
      <c r="H42" s="22"/>
      <c r="I42" s="22">
        <f ca="1"/>
        <v>0</v>
      </c>
      <c r="J42" s="22"/>
      <c r="K42" s="22">
        <f ca="1"/>
        <v>0</v>
      </c>
      <c r="L42" s="22"/>
      <c r="M42" s="22">
        <f ca="1"/>
        <v>0</v>
      </c>
      <c r="N42" s="22"/>
      <c r="O42" s="22">
        <f ca="1"/>
        <v>0</v>
      </c>
      <c r="P42" s="22"/>
      <c r="Q42" s="22">
        <f ca="1"/>
        <v>0</v>
      </c>
      <c r="R42" s="22"/>
      <c r="S42" s="22">
        <f ca="1"/>
        <v>0</v>
      </c>
      <c r="T42" s="22"/>
      <c r="U42" s="22">
        <f ca="1"/>
        <v>0</v>
      </c>
      <c r="V42" s="22"/>
      <c r="W42" s="22">
        <f ca="1"/>
        <v>0</v>
      </c>
      <c r="X42" s="22"/>
      <c r="Y42" s="22">
        <f ca="1"/>
        <v>0</v>
      </c>
      <c r="Z42" s="22"/>
      <c r="AA42" s="22">
        <f ca="1"/>
        <v>0</v>
      </c>
      <c r="AB42" s="22"/>
      <c r="AC42" s="22">
        <f ca="1"/>
        <v>0</v>
      </c>
      <c r="AD42" s="22"/>
      <c r="AE42" s="22">
        <f ca="1"/>
        <v>0</v>
      </c>
      <c r="AF42" s="22"/>
      <c r="AG42" s="22">
        <f ca="1"/>
        <v>0</v>
      </c>
      <c r="AH42" s="22"/>
      <c r="AI42" s="22">
        <f ca="1"/>
        <v>0</v>
      </c>
      <c r="AJ42" s="22"/>
      <c r="AK42" s="22">
        <f ca="1"/>
        <v>0</v>
      </c>
      <c r="AL42" s="22"/>
      <c r="AM42" s="22">
        <f ca="1"/>
        <v>0</v>
      </c>
      <c r="AN42" s="22"/>
      <c r="AO42" s="22">
        <f ca="1"/>
        <v>0</v>
      </c>
      <c r="AP42" s="22"/>
      <c r="AQ42" s="22">
        <f ca="1"/>
        <v>0</v>
      </c>
      <c r="AR42" s="22"/>
    </row>
    <row r="43" spans="1:44" x14ac:dyDescent="0.25">
      <c r="A43" s="22">
        <f ca="1"/>
        <v>0</v>
      </c>
      <c r="B43" s="22"/>
      <c r="C43" s="22">
        <f ca="1"/>
        <v>0</v>
      </c>
      <c r="D43" s="22"/>
      <c r="E43" s="22">
        <f ca="1"/>
        <v>0</v>
      </c>
      <c r="F43" s="22"/>
      <c r="G43" s="22">
        <f ca="1"/>
        <v>0</v>
      </c>
      <c r="H43" s="22"/>
      <c r="I43" s="22">
        <f ca="1"/>
        <v>0</v>
      </c>
      <c r="J43" s="22"/>
      <c r="K43" s="22">
        <f ca="1"/>
        <v>0</v>
      </c>
      <c r="L43" s="22"/>
      <c r="M43" s="22">
        <f ca="1"/>
        <v>0</v>
      </c>
      <c r="N43" s="22"/>
      <c r="O43" s="22">
        <f ca="1"/>
        <v>0</v>
      </c>
      <c r="P43" s="22"/>
      <c r="Q43" s="22">
        <f ca="1"/>
        <v>0</v>
      </c>
      <c r="R43" s="22"/>
      <c r="S43" s="22">
        <f ca="1"/>
        <v>0</v>
      </c>
      <c r="T43" s="22"/>
      <c r="U43" s="22">
        <f ca="1"/>
        <v>0</v>
      </c>
      <c r="V43" s="22"/>
      <c r="W43" s="22">
        <f ca="1"/>
        <v>0</v>
      </c>
      <c r="X43" s="22"/>
      <c r="Y43" s="22">
        <f ca="1"/>
        <v>0</v>
      </c>
      <c r="Z43" s="22"/>
      <c r="AA43" s="22">
        <f ca="1"/>
        <v>0</v>
      </c>
      <c r="AB43" s="22"/>
      <c r="AC43" s="22">
        <f ca="1"/>
        <v>0</v>
      </c>
      <c r="AD43" s="22"/>
      <c r="AE43" s="22">
        <f ca="1"/>
        <v>0</v>
      </c>
      <c r="AF43" s="22"/>
      <c r="AG43" s="22">
        <f ca="1"/>
        <v>0</v>
      </c>
      <c r="AH43" s="22"/>
      <c r="AI43" s="22">
        <f ca="1"/>
        <v>0</v>
      </c>
      <c r="AJ43" s="22"/>
      <c r="AK43" s="22">
        <f ca="1"/>
        <v>0</v>
      </c>
      <c r="AL43" s="22"/>
      <c r="AM43" s="22">
        <f ca="1"/>
        <v>0</v>
      </c>
      <c r="AN43" s="22"/>
      <c r="AO43" s="22">
        <f ca="1"/>
        <v>0</v>
      </c>
      <c r="AP43" s="22"/>
      <c r="AQ43" s="22">
        <f ca="1"/>
        <v>0</v>
      </c>
      <c r="AR43" s="22"/>
    </row>
    <row r="44" spans="1:44" x14ac:dyDescent="0.25">
      <c r="A44" s="22">
        <f ca="1"/>
        <v>0</v>
      </c>
      <c r="B44" s="22"/>
      <c r="C44" s="22">
        <f ca="1"/>
        <v>0</v>
      </c>
      <c r="D44" s="22"/>
      <c r="E44" s="22">
        <f ca="1"/>
        <v>0</v>
      </c>
      <c r="F44" s="22"/>
      <c r="G44" s="22">
        <f ca="1"/>
        <v>0</v>
      </c>
      <c r="H44" s="22"/>
      <c r="I44" s="22">
        <f ca="1"/>
        <v>0</v>
      </c>
      <c r="J44" s="22"/>
      <c r="K44" s="22">
        <f ca="1"/>
        <v>0</v>
      </c>
      <c r="L44" s="22"/>
      <c r="M44" s="22">
        <f ca="1"/>
        <v>0</v>
      </c>
      <c r="N44" s="22"/>
      <c r="O44" s="22">
        <f ca="1"/>
        <v>0</v>
      </c>
      <c r="P44" s="22"/>
      <c r="Q44" s="22">
        <f ca="1"/>
        <v>0</v>
      </c>
      <c r="R44" s="22"/>
      <c r="S44" s="22">
        <f ca="1"/>
        <v>0</v>
      </c>
      <c r="T44" s="22"/>
      <c r="U44" s="22">
        <f ca="1"/>
        <v>0</v>
      </c>
      <c r="V44" s="22"/>
      <c r="W44" s="22">
        <f ca="1"/>
        <v>0</v>
      </c>
      <c r="X44" s="22"/>
      <c r="Y44" s="22">
        <f ca="1"/>
        <v>0</v>
      </c>
      <c r="Z44" s="22"/>
      <c r="AA44" s="22">
        <f ca="1"/>
        <v>0</v>
      </c>
      <c r="AB44" s="22"/>
      <c r="AC44" s="22">
        <f ca="1"/>
        <v>0</v>
      </c>
      <c r="AD44" s="22"/>
      <c r="AE44" s="22">
        <f ca="1"/>
        <v>0</v>
      </c>
      <c r="AF44" s="22"/>
      <c r="AG44" s="22">
        <f ca="1"/>
        <v>0</v>
      </c>
      <c r="AH44" s="22"/>
      <c r="AI44" s="22">
        <f ca="1"/>
        <v>0</v>
      </c>
      <c r="AJ44" s="22"/>
      <c r="AK44" s="22">
        <f ca="1"/>
        <v>0</v>
      </c>
      <c r="AL44" s="22"/>
      <c r="AM44" s="22">
        <f ca="1"/>
        <v>0</v>
      </c>
      <c r="AN44" s="22"/>
      <c r="AO44" s="22">
        <f ca="1"/>
        <v>0</v>
      </c>
      <c r="AP44" s="22"/>
      <c r="AQ44" s="22">
        <f ca="1"/>
        <v>0</v>
      </c>
      <c r="AR44" s="22"/>
    </row>
    <row r="45" spans="1:44" x14ac:dyDescent="0.25">
      <c r="A45" s="22">
        <f ca="1"/>
        <v>0</v>
      </c>
      <c r="B45" s="22"/>
      <c r="C45" s="22">
        <f ca="1"/>
        <v>0</v>
      </c>
      <c r="D45" s="22"/>
      <c r="E45" s="22">
        <f ca="1"/>
        <v>0</v>
      </c>
      <c r="F45" s="22"/>
      <c r="G45" s="22">
        <f ca="1"/>
        <v>0</v>
      </c>
      <c r="H45" s="22"/>
      <c r="I45" s="22">
        <f ca="1"/>
        <v>0</v>
      </c>
      <c r="J45" s="22"/>
      <c r="K45" s="22">
        <f ca="1"/>
        <v>0</v>
      </c>
      <c r="L45" s="22"/>
      <c r="M45" s="22">
        <f ca="1"/>
        <v>0</v>
      </c>
      <c r="N45" s="22"/>
      <c r="O45" s="22">
        <f ca="1"/>
        <v>0</v>
      </c>
      <c r="P45" s="22"/>
      <c r="Q45" s="22">
        <f ca="1"/>
        <v>0</v>
      </c>
      <c r="R45" s="22"/>
      <c r="S45" s="22">
        <f ca="1"/>
        <v>0</v>
      </c>
      <c r="T45" s="22"/>
      <c r="U45" s="22">
        <f ca="1"/>
        <v>0</v>
      </c>
      <c r="V45" s="22"/>
      <c r="W45" s="22">
        <f ca="1"/>
        <v>0</v>
      </c>
      <c r="X45" s="22"/>
      <c r="Y45" s="22">
        <f ca="1"/>
        <v>0</v>
      </c>
      <c r="Z45" s="22"/>
      <c r="AA45" s="22">
        <f ca="1"/>
        <v>0</v>
      </c>
      <c r="AB45" s="22"/>
      <c r="AC45" s="22">
        <f ca="1"/>
        <v>0</v>
      </c>
      <c r="AD45" s="22"/>
      <c r="AE45" s="22">
        <f ca="1"/>
        <v>0</v>
      </c>
      <c r="AF45" s="22"/>
      <c r="AG45" s="22">
        <f ca="1"/>
        <v>0</v>
      </c>
      <c r="AH45" s="22"/>
      <c r="AI45" s="22">
        <f ca="1"/>
        <v>0</v>
      </c>
      <c r="AJ45" s="22"/>
      <c r="AK45" s="22">
        <f ca="1"/>
        <v>0</v>
      </c>
      <c r="AL45" s="22"/>
      <c r="AM45" s="22">
        <f ca="1"/>
        <v>0</v>
      </c>
      <c r="AN45" s="22"/>
      <c r="AO45" s="22">
        <f ca="1"/>
        <v>0</v>
      </c>
      <c r="AP45" s="22"/>
      <c r="AQ45" s="22">
        <f ca="1"/>
        <v>0</v>
      </c>
      <c r="AR45" s="22"/>
    </row>
    <row r="46" spans="1:44" x14ac:dyDescent="0.25">
      <c r="A46" s="22">
        <f ca="1"/>
        <v>0</v>
      </c>
      <c r="B46" s="22"/>
      <c r="C46" s="22">
        <f ca="1"/>
        <v>0</v>
      </c>
      <c r="D46" s="22"/>
      <c r="E46" s="22">
        <f ca="1"/>
        <v>0</v>
      </c>
      <c r="F46" s="22"/>
      <c r="G46" s="22">
        <f ca="1"/>
        <v>0</v>
      </c>
      <c r="H46" s="22"/>
      <c r="I46" s="22">
        <f ca="1"/>
        <v>0</v>
      </c>
      <c r="J46" s="22"/>
      <c r="K46" s="22">
        <f ca="1"/>
        <v>0</v>
      </c>
      <c r="L46" s="22"/>
      <c r="M46" s="22">
        <f ca="1"/>
        <v>0</v>
      </c>
      <c r="N46" s="22"/>
      <c r="O46" s="22">
        <f ca="1"/>
        <v>0</v>
      </c>
      <c r="P46" s="22"/>
      <c r="Q46" s="22">
        <f ca="1"/>
        <v>0</v>
      </c>
      <c r="R46" s="22"/>
      <c r="S46" s="22">
        <f ca="1"/>
        <v>0</v>
      </c>
      <c r="T46" s="22"/>
      <c r="U46" s="22">
        <f ca="1"/>
        <v>0</v>
      </c>
      <c r="V46" s="22"/>
      <c r="W46" s="22">
        <f ca="1"/>
        <v>0</v>
      </c>
      <c r="X46" s="22"/>
      <c r="Y46" s="22">
        <f ca="1"/>
        <v>0</v>
      </c>
      <c r="Z46" s="22"/>
      <c r="AA46" s="22">
        <f ca="1"/>
        <v>0</v>
      </c>
      <c r="AB46" s="22"/>
      <c r="AC46" s="22">
        <f ca="1"/>
        <v>0</v>
      </c>
      <c r="AD46" s="22"/>
      <c r="AE46" s="22">
        <f ca="1"/>
        <v>0</v>
      </c>
      <c r="AF46" s="22"/>
      <c r="AG46" s="22">
        <f ca="1"/>
        <v>0</v>
      </c>
      <c r="AH46" s="22"/>
      <c r="AI46" s="22">
        <f ca="1"/>
        <v>0</v>
      </c>
      <c r="AJ46" s="22"/>
      <c r="AK46" s="22">
        <f ca="1"/>
        <v>0</v>
      </c>
      <c r="AL46" s="22"/>
      <c r="AM46" s="22">
        <f ca="1"/>
        <v>0</v>
      </c>
      <c r="AN46" s="22"/>
      <c r="AO46" s="22">
        <f ca="1"/>
        <v>0</v>
      </c>
      <c r="AP46" s="22"/>
      <c r="AQ46" s="22">
        <f ca="1"/>
        <v>0</v>
      </c>
      <c r="AR46" s="22"/>
    </row>
    <row r="47" spans="1:44" x14ac:dyDescent="0.25">
      <c r="A47" s="22">
        <f ca="1"/>
        <v>0</v>
      </c>
      <c r="B47" s="22"/>
      <c r="C47" s="22">
        <f ca="1"/>
        <v>0</v>
      </c>
      <c r="D47" s="22"/>
      <c r="E47" s="22">
        <f ca="1"/>
        <v>0</v>
      </c>
      <c r="F47" s="22"/>
      <c r="G47" s="22">
        <f ca="1"/>
        <v>0</v>
      </c>
      <c r="H47" s="22"/>
      <c r="I47" s="22">
        <f ca="1"/>
        <v>0</v>
      </c>
      <c r="J47" s="22"/>
      <c r="K47" s="22">
        <f ca="1"/>
        <v>0</v>
      </c>
      <c r="L47" s="22"/>
      <c r="M47" s="22">
        <f ca="1"/>
        <v>0</v>
      </c>
      <c r="N47" s="22"/>
      <c r="O47" s="22">
        <f ca="1"/>
        <v>0</v>
      </c>
      <c r="P47" s="22"/>
      <c r="Q47" s="22">
        <f ca="1"/>
        <v>0</v>
      </c>
      <c r="R47" s="22"/>
      <c r="S47" s="22">
        <f ca="1"/>
        <v>0</v>
      </c>
      <c r="T47" s="22"/>
      <c r="U47" s="22">
        <f ca="1"/>
        <v>0</v>
      </c>
      <c r="V47" s="22"/>
      <c r="W47" s="22">
        <f ca="1"/>
        <v>0</v>
      </c>
      <c r="X47" s="22"/>
      <c r="Y47" s="22">
        <f ca="1"/>
        <v>0</v>
      </c>
      <c r="Z47" s="22"/>
      <c r="AA47" s="22">
        <f ca="1"/>
        <v>0</v>
      </c>
      <c r="AB47" s="22"/>
      <c r="AC47" s="22">
        <f ca="1"/>
        <v>0</v>
      </c>
      <c r="AD47" s="22"/>
      <c r="AE47" s="22">
        <f ca="1"/>
        <v>0</v>
      </c>
      <c r="AF47" s="22"/>
      <c r="AG47" s="22">
        <f ca="1"/>
        <v>0</v>
      </c>
      <c r="AH47" s="22"/>
      <c r="AI47" s="22">
        <f ca="1"/>
        <v>0</v>
      </c>
      <c r="AJ47" s="22"/>
      <c r="AK47" s="22">
        <f ca="1"/>
        <v>0</v>
      </c>
      <c r="AL47" s="22"/>
      <c r="AM47" s="22">
        <f ca="1"/>
        <v>0</v>
      </c>
      <c r="AN47" s="22"/>
      <c r="AO47" s="22">
        <f ca="1"/>
        <v>0</v>
      </c>
      <c r="AP47" s="22"/>
      <c r="AQ47" s="22">
        <f ca="1"/>
        <v>0</v>
      </c>
      <c r="AR47" s="22"/>
    </row>
    <row r="49" spans="1:41" x14ac:dyDescent="0.25">
      <c r="A49" s="21">
        <v>23</v>
      </c>
      <c r="C49" s="21">
        <v>24</v>
      </c>
      <c r="E49" s="21">
        <v>25</v>
      </c>
      <c r="G49" s="21">
        <v>26</v>
      </c>
      <c r="I49" s="21">
        <v>27</v>
      </c>
      <c r="K49" s="21">
        <v>28</v>
      </c>
      <c r="M49" s="21">
        <v>29</v>
      </c>
      <c r="O49" s="21">
        <v>30</v>
      </c>
      <c r="Q49" s="21">
        <v>31</v>
      </c>
      <c r="S49" s="21">
        <v>32</v>
      </c>
      <c r="U49" s="21">
        <v>33</v>
      </c>
      <c r="W49" s="21">
        <v>34</v>
      </c>
      <c r="Y49" s="21">
        <v>35</v>
      </c>
      <c r="AA49" s="21">
        <v>36</v>
      </c>
      <c r="AC49" s="21">
        <v>37</v>
      </c>
      <c r="AE49" s="21">
        <v>38</v>
      </c>
      <c r="AG49" s="21">
        <v>39</v>
      </c>
      <c r="AI49" s="21">
        <v>40</v>
      </c>
      <c r="AK49" s="21">
        <v>41</v>
      </c>
      <c r="AM49" s="21">
        <v>42</v>
      </c>
      <c r="AO49" s="21">
        <v>43</v>
      </c>
    </row>
    <row r="50" spans="1:41" x14ac:dyDescent="0.25">
      <c r="A50" s="21" t="str">
        <f>VLOOKUP(A49,categorieen!$A:$B,2,FALSE)</f>
        <v>Begint met N</v>
      </c>
      <c r="B50" s="4"/>
      <c r="C50" s="21" t="str">
        <f>VLOOKUP(C49,categorieen!$A:$B,2,FALSE)</f>
        <v>3 of 4 letters</v>
      </c>
      <c r="D50" s="4"/>
      <c r="E50" s="21" t="str">
        <f>VLOOKUP(E49,categorieen!$A:$B,2,FALSE)</f>
        <v>1 van de 8</v>
      </c>
      <c r="F50" s="4"/>
      <c r="G50" s="21" t="str">
        <f>VLOOKUP(G49,categorieen!$A:$B,2,FALSE)</f>
        <v>Eindigt op el</v>
      </c>
      <c r="H50" s="4"/>
      <c r="I50" s="21" t="str">
        <f>VLOOKUP(I49,categorieen!$A:$B,2,FALSE)</f>
        <v>Eten en Drinken (ED)</v>
      </c>
      <c r="J50" s="4"/>
      <c r="K50" s="21" t="str">
        <f>VLOOKUP(K49,categorieen!$A:$B,2,FALSE)</f>
        <v>Heilige</v>
      </c>
      <c r="L50" s="4"/>
      <c r="M50" s="21" t="str">
        <f>VLOOKUP(M49,categorieen!$A:$B,2,FALSE)</f>
        <v>Hilvarenbeek</v>
      </c>
      <c r="N50" s="4"/>
      <c r="O50" s="21" t="str">
        <f>VLOOKUP(O49,categorieen!$A:$B,2,FALSE)</f>
        <v>In de volksmond (IDV)</v>
      </c>
      <c r="P50" s="4"/>
      <c r="Q50" s="21" t="str">
        <f>VLOOKUP(Q49,categorieen!$A:$B,2,FALSE)</f>
        <v>Kleurrijk</v>
      </c>
      <c r="R50" s="4"/>
      <c r="S50" s="21" t="str">
        <f>VLOOKUP(S49,categorieen!$A:$B,2,FALSE)</f>
        <v>Met ie</v>
      </c>
      <c r="T50" s="4"/>
      <c r="U50" s="21" t="str">
        <f>VLOOKUP(U49,categorieen!$A:$B,2,FALSE)</f>
        <v>076 (Breda)</v>
      </c>
      <c r="V50" s="4"/>
      <c r="W50" s="21" t="str">
        <f>VLOOKUP(W49,categorieen!$A:$B,2,FALSE)</f>
        <v>Met 4 Wieken</v>
      </c>
      <c r="X50" s="4"/>
      <c r="Y50" s="21" t="str">
        <f>VLOOKUP(Y49,categorieen!$A:$B,2,FALSE)</f>
        <v>Parel in het Groen (PITG)</v>
      </c>
      <c r="Z50" s="4"/>
      <c r="AA50" s="21" t="str">
        <f>VLOOKUP(AA49,categorieen!$A:$B,2,FALSE)</f>
        <v>Plein</v>
      </c>
      <c r="AB50" s="4"/>
      <c r="AC50" s="21" t="str">
        <f>VLOOKUP(AC49,categorieen!$A:$B,2,FALSE)</f>
        <v>s Hertogenbosch (DB)</v>
      </c>
      <c r="AD50" s="4"/>
      <c r="AE50" s="21" t="str">
        <f>VLOOKUP(AE49,categorieen!$A:$B,2,FALSE)</f>
        <v>Sport</v>
      </c>
      <c r="AF50" s="4"/>
      <c r="AG50" s="21" t="str">
        <f>VLOOKUP(AG49,categorieen!$A:$B,2,FALSE)</f>
        <v>Theater</v>
      </c>
      <c r="AH50" s="4"/>
      <c r="AI50" s="21" t="str">
        <f>VLOOKUP(AI49,categorieen!$A:$B,2,FALSE)</f>
        <v>Typisch Brabants (TB)</v>
      </c>
      <c r="AJ50" s="4"/>
      <c r="AK50" s="21" t="str">
        <f>VLOOKUP(AK49,categorieen!$A:$B,2,FALSE)</f>
        <v>Vught</v>
      </c>
      <c r="AL50" s="4"/>
      <c r="AM50" s="21" t="str">
        <f>VLOOKUP(AM49,categorieen!$A:$B,2,FALSE)</f>
        <v>7 letters</v>
      </c>
      <c r="AN50" s="4"/>
      <c r="AO50" s="21" t="str">
        <f>VLOOKUP(AO49,categorieen!$A:$B,2,FALSE)</f>
        <v>Dierlijk</v>
      </c>
    </row>
    <row r="51" spans="1:41" x14ac:dyDescent="0.25">
      <c r="A51" s="22" t="str" cm="1">
        <f t="array" aca="1" ref="A51:A95" ca="1">TRANSPOSE(Lijstjemaken(A49))</f>
        <v>NAC</v>
      </c>
      <c r="B51" s="22"/>
      <c r="C51" s="22" t="str" cm="1">
        <f t="array" aca="1" ref="C51:C95" ca="1">TRANSPOSE(Lijstjemaken(C49))</f>
        <v>Baol</v>
      </c>
      <c r="D51" s="22"/>
      <c r="E51" s="22" t="str" cm="1">
        <f t="array" aca="1" ref="E51:E95" ca="1">TRANSPOSE(Lijstjemaken(E49))</f>
        <v>Duizel</v>
      </c>
      <c r="F51" s="22"/>
      <c r="G51" s="22" t="str" cm="1">
        <f t="array" aca="1" ref="G51:G95" ca="1">TRANSPOSE(Lijstjemaken(G49))</f>
        <v>Aarle Rixtel</v>
      </c>
      <c r="H51" s="22"/>
      <c r="I51" s="22" t="str" cm="1">
        <f t="array" aca="1" ref="I51:I95" ca="1">TRANSPOSE(Lijstjemaken(I49))</f>
        <v>Arendsnest</v>
      </c>
      <c r="J51" s="22"/>
      <c r="K51" s="22" t="str" cm="1">
        <f t="array" aca="1" ref="K51:K95" ca="1">TRANSPOSE(Lijstjemaken(K49))</f>
        <v>Donders</v>
      </c>
      <c r="L51" s="22"/>
      <c r="M51" s="22" t="str" cm="1">
        <f t="array" aca="1" ref="M51:M95" ca="1">TRANSPOSE(Lijstjemaken(M49))</f>
        <v>Beekse Bergen</v>
      </c>
      <c r="N51" s="22"/>
      <c r="O51" s="22" t="str" cm="1">
        <f t="array" aca="1" ref="O51:O95" ca="1">TRANSPOSE(Lijstjemaken(O49))</f>
        <v>Baol</v>
      </c>
      <c r="P51" s="22"/>
      <c r="Q51" s="22" t="str" cm="1">
        <f t="array" aca="1" ref="Q51:Q95" ca="1">TRANSPOSE(Lijstjemaken(Q49))</f>
        <v>De Blauwe Camer</v>
      </c>
      <c r="R51" s="22"/>
      <c r="S51" s="22" t="str" cm="1">
        <f t="array" aca="1" ref="S51:S95" ca="1">TRANSPOSE(Lijstjemaken(S49))</f>
        <v>Bieb</v>
      </c>
      <c r="T51" s="22"/>
      <c r="U51" s="22" t="str" cm="1">
        <f t="array" aca="1" ref="U51:U95" ca="1">TRANSPOSE(Lijstjemaken(U49))</f>
        <v>Bouvigne</v>
      </c>
      <c r="V51" s="22"/>
      <c r="W51" s="22" t="str" cm="1">
        <f t="array" aca="1" ref="W51:W95" ca="1">TRANSPOSE(Lijstjemaken(W49))</f>
        <v>Assumburg</v>
      </c>
      <c r="X51" s="22"/>
      <c r="Y51" s="22" t="str" cm="1">
        <f t="array" aca="1" ref="Y51:Y95" ca="1">TRANSPOSE(Lijstjemaken(Y49))</f>
        <v>Beerze</v>
      </c>
      <c r="Z51" s="22"/>
      <c r="AA51" s="22" t="str" cm="1">
        <f t="array" aca="1" ref="AA51:AA95" ca="1">TRANSPOSE(Lijstjemaken(AA49))</f>
        <v>(aan de) Parade</v>
      </c>
      <c r="AB51" s="22"/>
      <c r="AC51" s="22" t="str" cm="1">
        <f t="array" aca="1" ref="AC51:AC95" ca="1">TRANSPOSE(Lijstjemaken(AC49))</f>
        <v>(aan de) Parade</v>
      </c>
      <c r="AD51" s="22"/>
      <c r="AE51" s="22" t="str" cm="1">
        <f t="array" aca="1" ref="AE51:AE95" ca="1">TRANSPOSE(Lijstjemaken(AE49))</f>
        <v>Biestse Boulers</v>
      </c>
      <c r="AF51" s="22"/>
      <c r="AG51" s="22" t="str" cm="1">
        <f t="array" aca="1" ref="AG51:AG95" ca="1">TRANSPOSE(Lijstjemaken(AG49))</f>
        <v>(aan de) Parade</v>
      </c>
      <c r="AH51" s="22"/>
      <c r="AI51" s="22" t="str" cm="1">
        <f t="array" aca="1" ref="AI51:AI95" ca="1">TRANSPOSE(Lijstjemaken(AI49))</f>
        <v>Balkenbrij</v>
      </c>
      <c r="AJ51" s="22"/>
      <c r="AK51" s="22" t="str" cm="1">
        <f t="array" aca="1" ref="AK51:AK95" ca="1">TRANSPOSE(Lijstjemaken(AK49))</f>
        <v>A2</v>
      </c>
      <c r="AL51" s="22"/>
      <c r="AM51" s="22" t="str" cm="1">
        <f t="array" aca="1" ref="AM51:AM95" ca="1">TRANSPOSE(Lijstjemaken(AM49))</f>
        <v>De Brand (herberg)</v>
      </c>
      <c r="AN51" s="22"/>
      <c r="AO51" s="22" t="str" cm="1">
        <f t="array" aca="1" ref="AO51:AO95" ca="1">TRANSPOSE(Lijstjemaken(AO49))</f>
        <v>Arendsnest</v>
      </c>
    </row>
    <row r="52" spans="1:41" x14ac:dyDescent="0.25">
      <c r="A52" s="22" t="str">
        <f ca="1"/>
        <v>Nemerlaer</v>
      </c>
      <c r="B52" s="22"/>
      <c r="C52" s="22" t="str">
        <f ca="1"/>
        <v>Bieb</v>
      </c>
      <c r="D52" s="22"/>
      <c r="E52" s="22" t="str">
        <f ca="1"/>
        <v>Eersel</v>
      </c>
      <c r="F52" s="22"/>
      <c r="G52" s="22" t="str">
        <f ca="1"/>
        <v>De Heuvel</v>
      </c>
      <c r="H52" s="22"/>
      <c r="I52" s="22" t="str">
        <f ca="1"/>
        <v>Balkenbrij</v>
      </c>
      <c r="J52" s="22"/>
      <c r="K52" s="22" t="str">
        <f ca="1"/>
        <v>Petrus en Paulus (PP)</v>
      </c>
      <c r="L52" s="22"/>
      <c r="M52" s="22" t="str">
        <f ca="1"/>
        <v>Bierbrouwerij de Roos (BdR)</v>
      </c>
      <c r="N52" s="22"/>
      <c r="O52" s="22" t="str">
        <f ca="1"/>
        <v>Bekant</v>
      </c>
      <c r="P52" s="22"/>
      <c r="Q52" s="22" t="str">
        <f ca="1"/>
        <v>De Paarse Heide</v>
      </c>
      <c r="R52" s="22"/>
      <c r="S52" s="22" t="str">
        <f ca="1"/>
        <v>Bierbrouwerij de Roos (BdR)</v>
      </c>
      <c r="T52" s="22"/>
      <c r="U52" s="22" t="str">
        <f ca="1"/>
        <v>Chassé</v>
      </c>
      <c r="V52" s="22"/>
      <c r="W52" s="22" t="str">
        <f ca="1"/>
        <v>De Eeendracht</v>
      </c>
      <c r="X52" s="22"/>
      <c r="Y52" s="22" t="str">
        <f ca="1"/>
        <v>De Zotte Mulders</v>
      </c>
      <c r="Z52" s="22"/>
      <c r="AA52" s="22" t="str">
        <f ca="1"/>
        <v>18 September</v>
      </c>
      <c r="AB52" s="22"/>
      <c r="AC52" s="22" t="str">
        <f ca="1"/>
        <v>A2</v>
      </c>
      <c r="AD52" s="22"/>
      <c r="AE52" s="22" t="str">
        <f ca="1"/>
        <v>Borghs</v>
      </c>
      <c r="AF52" s="22"/>
      <c r="AG52" s="22" t="str">
        <f ca="1"/>
        <v>Chassé</v>
      </c>
      <c r="AH52" s="22"/>
      <c r="AI52" s="22" t="str">
        <f ca="1"/>
        <v>Bekant</v>
      </c>
      <c r="AJ52" s="22"/>
      <c r="AK52" s="22" t="str">
        <f ca="1"/>
        <v>Ijzeren man</v>
      </c>
      <c r="AL52" s="22"/>
      <c r="AM52" s="22" t="str">
        <f ca="1"/>
        <v>De Leest</v>
      </c>
      <c r="AN52" s="22"/>
      <c r="AO52" s="22" t="str">
        <f ca="1"/>
        <v>Balkenbrij</v>
      </c>
    </row>
    <row r="53" spans="1:41" x14ac:dyDescent="0.25">
      <c r="A53" s="22" t="str">
        <f ca="1"/>
        <v>Nieuw Vossemeer</v>
      </c>
      <c r="B53" s="22"/>
      <c r="C53" s="22" t="str">
        <f ca="1"/>
        <v>Glow</v>
      </c>
      <c r="D53" s="22"/>
      <c r="E53" s="22" t="str">
        <f ca="1"/>
        <v>Hulsel</v>
      </c>
      <c r="F53" s="22"/>
      <c r="G53" s="22" t="str">
        <f ca="1"/>
        <v>De Koepel</v>
      </c>
      <c r="H53" s="22"/>
      <c r="I53" s="22" t="str">
        <f ca="1"/>
        <v>Beerze</v>
      </c>
      <c r="J53" s="22"/>
      <c r="K53" s="22" t="str">
        <f ca="1"/>
        <v>Rooi</v>
      </c>
      <c r="L53" s="22"/>
      <c r="M53" s="22" t="str">
        <f ca="1"/>
        <v>Biestse Boulers</v>
      </c>
      <c r="N53" s="22"/>
      <c r="O53" s="22" t="str">
        <f ca="1"/>
        <v>De Laat</v>
      </c>
      <c r="P53" s="22"/>
      <c r="Q53" s="22" t="str">
        <f ca="1"/>
        <v>De Twee Pinten</v>
      </c>
      <c r="R53" s="22"/>
      <c r="S53" s="22" t="str">
        <f ca="1"/>
        <v>Biestse Boulers</v>
      </c>
      <c r="T53" s="22"/>
      <c r="U53" s="22" t="str">
        <f ca="1"/>
        <v>De 3 van</v>
      </c>
      <c r="V53" s="22"/>
      <c r="W53" s="22" t="str">
        <f ca="1"/>
        <v>De Korenbloem</v>
      </c>
      <c r="X53" s="22"/>
      <c r="Y53" s="22" t="str">
        <f ca="1"/>
        <v>Intents</v>
      </c>
      <c r="Z53" s="22"/>
      <c r="AA53" s="22" t="str">
        <f ca="1"/>
        <v>Borstbeeld Asselbergs (BA)</v>
      </c>
      <c r="AB53" s="22"/>
      <c r="AC53" s="22" t="str">
        <f ca="1"/>
        <v>Binnen Dieze</v>
      </c>
      <c r="AD53" s="22"/>
      <c r="AE53" s="22" t="str">
        <f ca="1"/>
        <v>Bram Braam</v>
      </c>
      <c r="AF53" s="22"/>
      <c r="AG53" s="22" t="str">
        <f ca="1"/>
        <v>De Eeendracht</v>
      </c>
      <c r="AH53" s="22"/>
      <c r="AI53" s="22" t="str">
        <f ca="1"/>
        <v>Bieb</v>
      </c>
      <c r="AJ53" s="22"/>
      <c r="AK53" s="22" t="str">
        <f ca="1"/>
        <v>In 't Groene Woud (GW)</v>
      </c>
      <c r="AL53" s="22"/>
      <c r="AM53" s="22" t="str">
        <f ca="1"/>
        <v>De Zwaan 1623</v>
      </c>
      <c r="AN53" s="22"/>
      <c r="AO53" s="22" t="str">
        <f ca="1"/>
        <v>Beekse Bergen</v>
      </c>
    </row>
    <row r="54" spans="1:41" x14ac:dyDescent="0.25">
      <c r="A54" s="22" t="str">
        <f ca="1"/>
        <v>Noenes</v>
      </c>
      <c r="B54" s="22"/>
      <c r="C54" s="22" t="str">
        <f ca="1"/>
        <v>KVL</v>
      </c>
      <c r="D54" s="22"/>
      <c r="E54" s="22" t="str">
        <f ca="1"/>
        <v>Knegsel</v>
      </c>
      <c r="F54" s="22"/>
      <c r="G54" s="22" t="str">
        <f ca="1"/>
        <v>Duizel</v>
      </c>
      <c r="H54" s="22"/>
      <c r="I54" s="22" t="str">
        <f ca="1"/>
        <v>Bierbrouwerij de Roos (BdR)</v>
      </c>
      <c r="J54" s="22"/>
      <c r="K54" s="22" t="str">
        <f ca="1"/>
        <v>Sint Agatha</v>
      </c>
      <c r="L54" s="22"/>
      <c r="M54" s="22" t="str">
        <f ca="1"/>
        <v>Borstbeeld Asselbergs (BA)</v>
      </c>
      <c r="N54" s="22"/>
      <c r="O54" s="22" t="str">
        <f ca="1"/>
        <v>Gorp en Roovert</v>
      </c>
      <c r="P54" s="22"/>
      <c r="Q54" s="22" t="str">
        <f ca="1"/>
        <v>Donders</v>
      </c>
      <c r="R54" s="22"/>
      <c r="S54" s="22" t="str">
        <f ca="1"/>
        <v>Binnen Dieze</v>
      </c>
      <c r="T54" s="22"/>
      <c r="U54" s="22" t="str">
        <f ca="1"/>
        <v>De Heuvel</v>
      </c>
      <c r="V54" s="22"/>
      <c r="W54" s="22" t="str">
        <f ca="1"/>
        <v>De Leest</v>
      </c>
      <c r="X54" s="22"/>
      <c r="Y54" s="22" t="str">
        <f ca="1"/>
        <v>Kampina</v>
      </c>
      <c r="Z54" s="22"/>
      <c r="AA54" s="22" t="str">
        <f ca="1"/>
        <v>De Heuvel</v>
      </c>
      <c r="AB54" s="22"/>
      <c r="AC54" s="22" t="str">
        <f ca="1"/>
        <v>Borghs</v>
      </c>
      <c r="AD54" s="22"/>
      <c r="AE54" s="22" t="str">
        <f ca="1"/>
        <v>Bud Brocken</v>
      </c>
      <c r="AF54" s="22"/>
      <c r="AG54" s="22" t="str">
        <f ca="1"/>
        <v>De Leest</v>
      </c>
      <c r="AH54" s="22"/>
      <c r="AI54" s="22" t="str">
        <f ca="1"/>
        <v>Bierbrouwerij de Roos (BdR)</v>
      </c>
      <c r="AJ54" s="22"/>
      <c r="AK54" s="22" t="str">
        <f ca="1"/>
        <v>Lunetten</v>
      </c>
      <c r="AL54" s="22"/>
      <c r="AM54" s="22" t="str">
        <f ca="1"/>
        <v>Diessen</v>
      </c>
      <c r="AN54" s="22"/>
      <c r="AO54" s="22" t="str">
        <f ca="1"/>
        <v>De Pelikaan</v>
      </c>
    </row>
    <row r="55" spans="1:41" x14ac:dyDescent="0.25">
      <c r="A55" s="22" t="str">
        <f ca="1"/>
        <v>Nooit Gedacht</v>
      </c>
      <c r="B55" s="22"/>
      <c r="C55" s="22" t="str">
        <f ca="1"/>
        <v>Lies</v>
      </c>
      <c r="D55" s="22"/>
      <c r="E55" s="22" t="str">
        <f ca="1"/>
        <v>Stinsel</v>
      </c>
      <c r="F55" s="22"/>
      <c r="G55" s="22" t="str">
        <f ca="1"/>
        <v>Eersel</v>
      </c>
      <c r="H55" s="22"/>
      <c r="I55" s="22" t="str">
        <f ca="1"/>
        <v>Borghs</v>
      </c>
      <c r="J55" s="22"/>
      <c r="K55" s="22" t="str">
        <f ca="1"/>
        <v>Sint Anthonis</v>
      </c>
      <c r="L55" s="22"/>
      <c r="M55" s="22" t="str">
        <f ca="1"/>
        <v>De Vrijthof</v>
      </c>
      <c r="N55" s="22"/>
      <c r="O55" s="22" t="str">
        <f ca="1"/>
        <v>Halve Zolen</v>
      </c>
      <c r="P55" s="22"/>
      <c r="Q55" s="22" t="str">
        <f ca="1"/>
        <v>Elastiek</v>
      </c>
      <c r="R55" s="22"/>
      <c r="S55" s="22" t="str">
        <f ca="1"/>
        <v>Cartierheide</v>
      </c>
      <c r="T55" s="22"/>
      <c r="U55" s="22" t="str">
        <f ca="1"/>
        <v>De Koepel</v>
      </c>
      <c r="V55" s="22"/>
      <c r="W55" s="22" t="str">
        <f ca="1"/>
        <v>De Pelikaan</v>
      </c>
      <c r="X55" s="22"/>
      <c r="Y55" s="22" t="str">
        <f ca="1"/>
        <v>KVL</v>
      </c>
      <c r="Z55" s="22"/>
      <c r="AA55" s="22" t="str">
        <f ca="1"/>
        <v>De Vrijthof</v>
      </c>
      <c r="AB55" s="22"/>
      <c r="AC55" s="22" t="str">
        <f ca="1"/>
        <v>Bossche Broek</v>
      </c>
      <c r="AD55" s="22"/>
      <c r="AE55" s="22" t="str">
        <f ca="1"/>
        <v>Donders</v>
      </c>
      <c r="AF55" s="22"/>
      <c r="AG55" s="22" t="str">
        <f ca="1"/>
        <v>Pand P</v>
      </c>
      <c r="AH55" s="22"/>
      <c r="AI55" s="22" t="str">
        <f ca="1"/>
        <v>De Paarse Heide</v>
      </c>
      <c r="AJ55" s="22"/>
      <c r="AK55" s="22" t="str">
        <f ca="1"/>
        <v>Maurick</v>
      </c>
      <c r="AL55" s="22"/>
      <c r="AM55" s="22" t="str">
        <f ca="1"/>
        <v>Donders</v>
      </c>
      <c r="AN55" s="22"/>
      <c r="AO55" s="22" t="str">
        <f ca="1"/>
        <v>Drakenfontein</v>
      </c>
    </row>
    <row r="56" spans="1:41" x14ac:dyDescent="0.25">
      <c r="A56" s="22" t="str">
        <f ca="1"/>
        <v>Noordhoek</v>
      </c>
      <c r="B56" s="22"/>
      <c r="C56" s="22" t="str">
        <f ca="1"/>
        <v>NAC</v>
      </c>
      <c r="D56" s="22"/>
      <c r="E56" s="22" t="str">
        <f ca="1"/>
        <v>Wintelre</v>
      </c>
      <c r="F56" s="22"/>
      <c r="G56" s="22" t="str">
        <f ca="1"/>
        <v>Hulsel</v>
      </c>
      <c r="H56" s="22"/>
      <c r="I56" s="22" t="str">
        <f ca="1"/>
        <v>Bouvigne</v>
      </c>
      <c r="J56" s="22"/>
      <c r="K56" s="22" t="str">
        <f ca="1"/>
        <v>Sint Jan</v>
      </c>
      <c r="L56" s="22"/>
      <c r="M56" s="22" t="str">
        <f ca="1"/>
        <v>Diessen</v>
      </c>
      <c r="N56" s="22"/>
      <c r="O56" s="22" t="str">
        <f ca="1"/>
        <v>Houdoe</v>
      </c>
      <c r="P56" s="22"/>
      <c r="Q56" s="22" t="str">
        <f ca="1"/>
        <v>Glow</v>
      </c>
      <c r="R56" s="22"/>
      <c r="S56" s="22" t="str">
        <f ca="1"/>
        <v>Diessen</v>
      </c>
      <c r="T56" s="22"/>
      <c r="U56" s="22" t="str">
        <f ca="1"/>
        <v>De Paarse Heide</v>
      </c>
      <c r="V56" s="22"/>
      <c r="W56" s="22" t="str">
        <f ca="1"/>
        <v>De 2 Gebroeders</v>
      </c>
      <c r="X56" s="22"/>
      <c r="Y56" s="22" t="str">
        <f ca="1"/>
        <v>Lieve Lente</v>
      </c>
      <c r="Z56" s="22"/>
      <c r="AA56" s="22" t="str">
        <f ca="1"/>
        <v>Elastiek</v>
      </c>
      <c r="AB56" s="22"/>
      <c r="AC56" s="22" t="str">
        <f ca="1"/>
        <v>De Twee Pinten</v>
      </c>
      <c r="AD56" s="22"/>
      <c r="AE56" s="22" t="str">
        <f ca="1"/>
        <v>Helmond</v>
      </c>
      <c r="AF56" s="22"/>
      <c r="AG56" s="22" t="str">
        <f ca="1"/>
        <v>Vestzak</v>
      </c>
      <c r="AH56" s="22"/>
      <c r="AI56" s="22" t="str">
        <f ca="1"/>
        <v>Elastiek</v>
      </c>
      <c r="AJ56" s="22"/>
      <c r="AK56" s="22" t="str">
        <f ca="1"/>
        <v>Petrus en Paulus (PP)</v>
      </c>
      <c r="AL56" s="22"/>
      <c r="AM56" s="22" t="str">
        <f ca="1"/>
        <v>Evoluon</v>
      </c>
      <c r="AN56" s="22"/>
      <c r="AO56" s="22" t="str">
        <f ca="1"/>
        <v>KVL</v>
      </c>
    </row>
    <row r="57" spans="1:41" x14ac:dyDescent="0.25">
      <c r="A57" s="22" t="str">
        <f ca="1"/>
        <v>Nuenen</v>
      </c>
      <c r="B57" s="22"/>
      <c r="C57" s="22" t="str">
        <f ca="1"/>
        <v>Oss</v>
      </c>
      <c r="D57" s="22"/>
      <c r="E57" s="22">
        <f ca="1"/>
        <v>0</v>
      </c>
      <c r="F57" s="22"/>
      <c r="G57" s="22" t="str">
        <f ca="1"/>
        <v>Knegsel</v>
      </c>
      <c r="H57" s="22"/>
      <c r="I57" s="22" t="str">
        <f ca="1"/>
        <v>De Brand (herberg)</v>
      </c>
      <c r="J57" s="22"/>
      <c r="K57" s="22" t="str">
        <f ca="1"/>
        <v>Sint Joris</v>
      </c>
      <c r="L57" s="22"/>
      <c r="M57" s="22" t="str">
        <f ca="1"/>
        <v>Elastiek</v>
      </c>
      <c r="N57" s="22"/>
      <c r="O57" s="22" t="str">
        <f ca="1"/>
        <v>Kruikezeiker</v>
      </c>
      <c r="P57" s="22"/>
      <c r="Q57" s="22" t="str">
        <f ca="1"/>
        <v>Intents</v>
      </c>
      <c r="R57" s="22"/>
      <c r="S57" s="22" t="str">
        <f ca="1"/>
        <v>Elastiek</v>
      </c>
      <c r="T57" s="22"/>
      <c r="U57" s="22" t="str">
        <f ca="1"/>
        <v>Lies</v>
      </c>
      <c r="V57" s="22"/>
      <c r="W57" s="22" t="str">
        <f ca="1"/>
        <v>De Zotte Mulders</v>
      </c>
      <c r="X57" s="22"/>
      <c r="Y57" s="22" t="str">
        <f ca="1"/>
        <v>Venkraai</v>
      </c>
      <c r="Z57" s="22"/>
      <c r="AA57" s="22" t="str">
        <f ca="1"/>
        <v>Lieve Lente</v>
      </c>
      <c r="AB57" s="22"/>
      <c r="AC57" s="22" t="str">
        <f ca="1"/>
        <v>Drakenfontein</v>
      </c>
      <c r="AD57" s="22"/>
      <c r="AE57" s="22" t="str">
        <f ca="1"/>
        <v>Ihattaren</v>
      </c>
      <c r="AF57" s="22"/>
      <c r="AG57" s="22">
        <f ca="1"/>
        <v>0</v>
      </c>
      <c r="AH57" s="22"/>
      <c r="AI57" s="22" t="str">
        <f ca="1"/>
        <v>Halve Zolen</v>
      </c>
      <c r="AJ57" s="22"/>
      <c r="AK57" s="22" t="str">
        <f ca="1"/>
        <v>Simon Tahamata</v>
      </c>
      <c r="AL57" s="22"/>
      <c r="AM57" s="22" t="str">
        <f ca="1"/>
        <v>Helmond</v>
      </c>
      <c r="AN57" s="22"/>
      <c r="AO57" s="22" t="str">
        <f ca="1"/>
        <v>Nieuw Vossemeer</v>
      </c>
    </row>
    <row r="58" spans="1:41" x14ac:dyDescent="0.25">
      <c r="A58" s="22">
        <f ca="1"/>
        <v>0</v>
      </c>
      <c r="B58" s="22"/>
      <c r="C58" s="22" t="str">
        <f ca="1"/>
        <v>Rooi</v>
      </c>
      <c r="D58" s="22"/>
      <c r="E58" s="22">
        <f ca="1"/>
        <v>0</v>
      </c>
      <c r="F58" s="22"/>
      <c r="G58" s="22" t="str">
        <f ca="1"/>
        <v>Liessel</v>
      </c>
      <c r="H58" s="22"/>
      <c r="I58" s="22" t="str">
        <f ca="1"/>
        <v>De Pelikaan</v>
      </c>
      <c r="J58" s="22"/>
      <c r="K58" s="22" t="str">
        <f ca="1"/>
        <v>Sint Juttemis</v>
      </c>
      <c r="L58" s="22"/>
      <c r="M58" s="22" t="str">
        <f ca="1"/>
        <v>Gorp en Roovert</v>
      </c>
      <c r="N58" s="22"/>
      <c r="O58" s="22" t="str">
        <f ca="1"/>
        <v>Papgat</v>
      </c>
      <c r="P58" s="22"/>
      <c r="Q58" s="22" t="str">
        <f ca="1"/>
        <v>In 't Groene Woud (GW)</v>
      </c>
      <c r="R58" s="22"/>
      <c r="S58" s="22" t="str">
        <f ca="1"/>
        <v>Lieve Lente</v>
      </c>
      <c r="T58" s="22"/>
      <c r="U58" s="22" t="str">
        <f ca="1"/>
        <v>Lunetten</v>
      </c>
      <c r="V58" s="22"/>
      <c r="W58" s="22" t="str">
        <f ca="1"/>
        <v>De Zwaan 1623</v>
      </c>
      <c r="X58" s="22"/>
      <c r="Y58" s="22">
        <f ca="1"/>
        <v>0</v>
      </c>
      <c r="Z58" s="22"/>
      <c r="AA58" s="22" t="str">
        <f ca="1"/>
        <v>Pand P</v>
      </c>
      <c r="AB58" s="22"/>
      <c r="AC58" s="22" t="str">
        <f ca="1"/>
        <v>Halve Zolen</v>
      </c>
      <c r="AD58" s="22"/>
      <c r="AE58" s="22" t="str">
        <f ca="1"/>
        <v>Joris Mathijsen (JM)</v>
      </c>
      <c r="AF58" s="22"/>
      <c r="AG58" s="22">
        <f ca="1"/>
        <v>0</v>
      </c>
      <c r="AH58" s="22"/>
      <c r="AI58" s="22" t="str">
        <f ca="1"/>
        <v>Houdoe</v>
      </c>
      <c r="AJ58" s="22"/>
      <c r="AK58" s="22">
        <f ca="1"/>
        <v>0</v>
      </c>
      <c r="AL58" s="22"/>
      <c r="AM58" s="22" t="str">
        <f ca="1"/>
        <v>Intents</v>
      </c>
      <c r="AN58" s="22"/>
      <c r="AO58" s="22" t="str">
        <f ca="1"/>
        <v>Oss</v>
      </c>
    </row>
    <row r="59" spans="1:41" x14ac:dyDescent="0.25">
      <c r="A59" s="22">
        <f ca="1"/>
        <v>0</v>
      </c>
      <c r="B59" s="22"/>
      <c r="C59" s="22" t="str">
        <f ca="1"/>
        <v>Wouw</v>
      </c>
      <c r="D59" s="22"/>
      <c r="E59" s="22">
        <f ca="1"/>
        <v>0</v>
      </c>
      <c r="F59" s="22"/>
      <c r="G59" s="22" t="str">
        <f ca="1"/>
        <v>Stinsel</v>
      </c>
      <c r="H59" s="22"/>
      <c r="I59" s="22" t="str">
        <f ca="1"/>
        <v>De Zwaan 1623</v>
      </c>
      <c r="J59" s="22"/>
      <c r="K59" s="22" t="str">
        <f ca="1"/>
        <v>St. Willebrord</v>
      </c>
      <c r="L59" s="22"/>
      <c r="M59" s="22" t="str">
        <f ca="1"/>
        <v>Roel van Hemert</v>
      </c>
      <c r="N59" s="22"/>
      <c r="O59" s="22" t="str">
        <f ca="1"/>
        <v>Papzakken</v>
      </c>
      <c r="P59" s="22"/>
      <c r="Q59" s="22" t="str">
        <f ca="1"/>
        <v>Paperclip</v>
      </c>
      <c r="R59" s="22"/>
      <c r="S59" s="22" t="str">
        <f ca="1"/>
        <v>Lies</v>
      </c>
      <c r="T59" s="22"/>
      <c r="U59" s="22" t="str">
        <f ca="1"/>
        <v>NAC</v>
      </c>
      <c r="V59" s="22"/>
      <c r="W59" s="22" t="str">
        <f ca="1"/>
        <v>Heimolen</v>
      </c>
      <c r="X59" s="22"/>
      <c r="Y59" s="22">
        <f ca="1"/>
        <v>0</v>
      </c>
      <c r="Z59" s="22"/>
      <c r="AA59" s="22" t="str">
        <f ca="1"/>
        <v>(plein) 1969</v>
      </c>
      <c r="AB59" s="22"/>
      <c r="AC59" s="22" t="str">
        <f ca="1"/>
        <v>Moerputten</v>
      </c>
      <c r="AD59" s="22"/>
      <c r="AE59" s="22" t="str">
        <f ca="1"/>
        <v>Michael van Gerwen</v>
      </c>
      <c r="AF59" s="22"/>
      <c r="AG59" s="22">
        <f ca="1"/>
        <v>0</v>
      </c>
      <c r="AH59" s="22"/>
      <c r="AI59" s="22" t="str">
        <f ca="1"/>
        <v>Lampegat</v>
      </c>
      <c r="AJ59" s="22"/>
      <c r="AK59" s="22">
        <f ca="1"/>
        <v>0</v>
      </c>
      <c r="AL59" s="22"/>
      <c r="AM59" s="22" t="str">
        <f ca="1"/>
        <v>Kampina</v>
      </c>
      <c r="AN59" s="22"/>
      <c r="AO59" s="22" t="str">
        <f ca="1"/>
        <v>Piet de Visser</v>
      </c>
    </row>
    <row r="60" spans="1:41" x14ac:dyDescent="0.25">
      <c r="A60" s="22">
        <f ca="1"/>
        <v>0</v>
      </c>
      <c r="B60" s="22"/>
      <c r="C60" s="22">
        <f ca="1"/>
        <v>0</v>
      </c>
      <c r="D60" s="22"/>
      <c r="E60" s="22">
        <f ca="1"/>
        <v>0</v>
      </c>
      <c r="F60" s="22"/>
      <c r="G60" s="22" t="str">
        <f ca="1"/>
        <v>Van Geel</v>
      </c>
      <c r="H60" s="22"/>
      <c r="I60" s="22" t="str">
        <f ca="1"/>
        <v>Elastiek</v>
      </c>
      <c r="J60" s="22"/>
      <c r="K60" s="22">
        <f ca="1"/>
        <v>0</v>
      </c>
      <c r="L60" s="22"/>
      <c r="M60" s="22" t="str">
        <f ca="1"/>
        <v>Sint Joris</v>
      </c>
      <c r="N60" s="22"/>
      <c r="O60" s="22" t="str">
        <f ca="1"/>
        <v>Ploegersland</v>
      </c>
      <c r="P60" s="22"/>
      <c r="Q60" s="22" t="str">
        <f ca="1"/>
        <v>Rooi</v>
      </c>
      <c r="R60" s="22"/>
      <c r="S60" s="22" t="str">
        <f ca="1"/>
        <v>Liessel</v>
      </c>
      <c r="T60" s="22"/>
      <c r="U60" s="22" t="str">
        <f ca="1"/>
        <v>Petrus en Paulus (PP)</v>
      </c>
      <c r="V60" s="22"/>
      <c r="W60" s="22" t="str">
        <f ca="1"/>
        <v>Nooit Gedacht</v>
      </c>
      <c r="X60" s="22"/>
      <c r="Y60" s="22">
        <f ca="1"/>
        <v>0</v>
      </c>
      <c r="Z60" s="22"/>
      <c r="AA60" s="22" t="str">
        <f ca="1"/>
        <v>Sint Joris</v>
      </c>
      <c r="AB60" s="22"/>
      <c r="AC60" s="22" t="str">
        <f ca="1"/>
        <v>Oosterplas</v>
      </c>
      <c r="AD60" s="22"/>
      <c r="AE60" s="22" t="str">
        <f ca="1"/>
        <v>NAC</v>
      </c>
      <c r="AF60" s="22"/>
      <c r="AG60" s="22">
        <f ca="1"/>
        <v>0</v>
      </c>
      <c r="AH60" s="22"/>
      <c r="AI60" s="22" t="str">
        <f ca="1"/>
        <v>Papzakken</v>
      </c>
      <c r="AJ60" s="22"/>
      <c r="AK60" s="22">
        <f ca="1"/>
        <v>0</v>
      </c>
      <c r="AL60" s="22"/>
      <c r="AM60" s="22" t="str">
        <f ca="1"/>
        <v>Knegsel</v>
      </c>
      <c r="AN60" s="22"/>
      <c r="AO60" s="22" t="str">
        <f ca="1"/>
        <v>Ria Valk</v>
      </c>
    </row>
    <row r="61" spans="1:41" x14ac:dyDescent="0.25">
      <c r="A61" s="22">
        <f ca="1"/>
        <v>0</v>
      </c>
      <c r="B61" s="22"/>
      <c r="C61" s="22">
        <f ca="1"/>
        <v>0</v>
      </c>
      <c r="D61" s="22"/>
      <c r="E61" s="22">
        <f ca="1"/>
        <v>0</v>
      </c>
      <c r="F61" s="22"/>
      <c r="G61" s="22" t="str">
        <f ca="1"/>
        <v>Van Roessel</v>
      </c>
      <c r="H61" s="22"/>
      <c r="I61" s="22" t="str">
        <f ca="1"/>
        <v>Heeswijk</v>
      </c>
      <c r="J61" s="22"/>
      <c r="K61" s="22">
        <f ca="1"/>
        <v>0</v>
      </c>
      <c r="L61" s="22"/>
      <c r="M61" s="22">
        <f ca="1"/>
        <v>0</v>
      </c>
      <c r="N61" s="22"/>
      <c r="O61" s="22" t="str">
        <f ca="1"/>
        <v>Rooi</v>
      </c>
      <c r="P61" s="22"/>
      <c r="Q61" s="22" t="str">
        <f ca="1"/>
        <v>Roze Maandag</v>
      </c>
      <c r="R61" s="22"/>
      <c r="S61" s="22" t="str">
        <f ca="1"/>
        <v>Nieuw Vossemeer</v>
      </c>
      <c r="T61" s="22"/>
      <c r="U61" s="22" t="str">
        <f ca="1"/>
        <v>Sint Joris</v>
      </c>
      <c r="V61" s="22"/>
      <c r="W61" s="22" t="str">
        <f ca="1"/>
        <v>Sint Agatha</v>
      </c>
      <c r="X61" s="22"/>
      <c r="Y61" s="22">
        <f ca="1"/>
        <v>0</v>
      </c>
      <c r="Z61" s="22"/>
      <c r="AA61" s="22" t="str">
        <f ca="1"/>
        <v>St. Willebrord</v>
      </c>
      <c r="AB61" s="22"/>
      <c r="AC61" s="22" t="str">
        <f ca="1"/>
        <v>Sint Jan</v>
      </c>
      <c r="AD61" s="22"/>
      <c r="AE61" s="22" t="str">
        <f ca="1"/>
        <v>Nooit Gedacht</v>
      </c>
      <c r="AF61" s="22"/>
      <c r="AG61" s="22">
        <f ca="1"/>
        <v>0</v>
      </c>
      <c r="AH61" s="22"/>
      <c r="AI61" s="22" t="str">
        <f ca="1"/>
        <v>Ploegersland</v>
      </c>
      <c r="AJ61" s="22"/>
      <c r="AK61" s="22">
        <f ca="1"/>
        <v>0</v>
      </c>
      <c r="AL61" s="22"/>
      <c r="AM61" s="22" t="str">
        <f ca="1"/>
        <v>Liessel</v>
      </c>
      <c r="AN61" s="22"/>
      <c r="AO61" s="22" t="str">
        <f ca="1"/>
        <v>Venkraai</v>
      </c>
    </row>
    <row r="62" spans="1:41" x14ac:dyDescent="0.25">
      <c r="A62" s="22">
        <f ca="1"/>
        <v>0</v>
      </c>
      <c r="B62" s="22"/>
      <c r="C62" s="22">
        <f ca="1"/>
        <v>0</v>
      </c>
      <c r="D62" s="22"/>
      <c r="E62" s="22">
        <f ca="1"/>
        <v>0</v>
      </c>
      <c r="F62" s="22"/>
      <c r="G62" s="22" t="str">
        <f ca="1"/>
        <v>Winkel</v>
      </c>
      <c r="H62" s="22"/>
      <c r="I62" s="22" t="str">
        <f ca="1"/>
        <v>Ijzeren man</v>
      </c>
      <c r="J62" s="22"/>
      <c r="K62" s="22">
        <f ca="1"/>
        <v>0</v>
      </c>
      <c r="L62" s="22"/>
      <c r="M62" s="22">
        <f ca="1"/>
        <v>0</v>
      </c>
      <c r="N62" s="22"/>
      <c r="O62" s="22" t="str">
        <f ca="1"/>
        <v>Sint Juttemis</v>
      </c>
      <c r="P62" s="22"/>
      <c r="Q62" s="22" t="str">
        <f ca="1"/>
        <v>t Blauwe Meer</v>
      </c>
      <c r="R62" s="22"/>
      <c r="S62" s="22" t="str">
        <f ca="1"/>
        <v>Piet de Visser</v>
      </c>
      <c r="T62" s="22"/>
      <c r="U62" s="22" t="str">
        <f ca="1"/>
        <v>Sint Juttemis</v>
      </c>
      <c r="V62" s="22"/>
      <c r="W62" s="22" t="str">
        <f ca="1"/>
        <v>Sint Anthonis</v>
      </c>
      <c r="X62" s="22"/>
      <c r="Y62" s="22">
        <f ca="1"/>
        <v>0</v>
      </c>
      <c r="Z62" s="22"/>
      <c r="AA62" s="22" t="str">
        <f ca="1"/>
        <v>t Kruiken(plein)</v>
      </c>
      <c r="AB62" s="22"/>
      <c r="AC62" s="22" t="str">
        <f ca="1"/>
        <v>7ende Hemel</v>
      </c>
      <c r="AD62" s="22"/>
      <c r="AE62" s="22" t="str">
        <f ca="1"/>
        <v>Piet de Visser</v>
      </c>
      <c r="AF62" s="22"/>
      <c r="AG62" s="22">
        <f ca="1"/>
        <v>0</v>
      </c>
      <c r="AH62" s="22"/>
      <c r="AI62" s="22" t="str">
        <f ca="1"/>
        <v>Schrobbelèr</v>
      </c>
      <c r="AJ62" s="22"/>
      <c r="AK62" s="22">
        <f ca="1"/>
        <v>0</v>
      </c>
      <c r="AL62" s="22"/>
      <c r="AM62" s="22" t="str">
        <f ca="1"/>
        <v>Maurick</v>
      </c>
      <c r="AN62" s="22"/>
      <c r="AO62" s="22" t="str">
        <f ca="1"/>
        <v>Worstenbroodje (WB)</v>
      </c>
    </row>
    <row r="63" spans="1:41" x14ac:dyDescent="0.25">
      <c r="A63" s="22">
        <f ca="1"/>
        <v>0</v>
      </c>
      <c r="B63" s="22"/>
      <c r="C63" s="22">
        <f ca="1"/>
        <v>0</v>
      </c>
      <c r="D63" s="22"/>
      <c r="E63" s="22">
        <f ca="1"/>
        <v>0</v>
      </c>
      <c r="F63" s="22"/>
      <c r="G63" s="22" t="str">
        <f ca="1"/>
        <v>7ende Hemel</v>
      </c>
      <c r="H63" s="22"/>
      <c r="I63" s="22" t="str">
        <f ca="1"/>
        <v>In 't Groene Woud (GW)</v>
      </c>
      <c r="J63" s="22"/>
      <c r="K63" s="22">
        <f ca="1"/>
        <v>0</v>
      </c>
      <c r="L63" s="22"/>
      <c r="M63" s="22">
        <f ca="1"/>
        <v>0</v>
      </c>
      <c r="N63" s="22"/>
      <c r="O63" s="22" t="str">
        <f ca="1"/>
        <v>Snuifscheppers (SFS)</v>
      </c>
      <c r="P63" s="22"/>
      <c r="Q63" s="22" t="str">
        <f ca="1"/>
        <v>Van Geel</v>
      </c>
      <c r="R63" s="22"/>
      <c r="S63" s="22">
        <f ca="1"/>
        <v>0</v>
      </c>
      <c r="T63" s="22"/>
      <c r="U63" s="22" t="str">
        <f ca="1"/>
        <v>Wilhelminapark (WP)</v>
      </c>
      <c r="V63" s="22"/>
      <c r="W63" s="22" t="str">
        <f ca="1"/>
        <v>Sint Jan</v>
      </c>
      <c r="X63" s="22"/>
      <c r="Y63" s="22">
        <f ca="1"/>
        <v>0</v>
      </c>
      <c r="Z63" s="22"/>
      <c r="AA63" s="22">
        <f ca="1"/>
        <v>0</v>
      </c>
      <c r="AB63" s="22"/>
      <c r="AC63" s="22">
        <f ca="1"/>
        <v>0</v>
      </c>
      <c r="AD63" s="22"/>
      <c r="AE63" s="22" t="str">
        <f ca="1"/>
        <v>Roel van Hemert</v>
      </c>
      <c r="AF63" s="22"/>
      <c r="AG63" s="22">
        <f ca="1"/>
        <v>0</v>
      </c>
      <c r="AH63" s="22"/>
      <c r="AI63" s="22" t="str">
        <f ca="1"/>
        <v>Snuifscheppers (SFS)</v>
      </c>
      <c r="AJ63" s="22"/>
      <c r="AK63" s="22">
        <f ca="1"/>
        <v>0</v>
      </c>
      <c r="AL63" s="22"/>
      <c r="AM63" s="22" t="str">
        <f ca="1"/>
        <v>Nuenen</v>
      </c>
      <c r="AN63" s="22"/>
      <c r="AO63" s="22" t="str">
        <f ca="1"/>
        <v>Wouw</v>
      </c>
    </row>
    <row r="64" spans="1:41" x14ac:dyDescent="0.25">
      <c r="A64" s="22">
        <f ca="1"/>
        <v>0</v>
      </c>
      <c r="B64" s="22"/>
      <c r="C64" s="22">
        <f ca="1"/>
        <v>0</v>
      </c>
      <c r="D64" s="22"/>
      <c r="E64" s="22">
        <f ca="1"/>
        <v>0</v>
      </c>
      <c r="F64" s="22"/>
      <c r="G64" s="22">
        <f ca="1"/>
        <v>0</v>
      </c>
      <c r="H64" s="22"/>
      <c r="I64" s="22" t="str">
        <f ca="1"/>
        <v>Lieve Lente</v>
      </c>
      <c r="J64" s="22"/>
      <c r="K64" s="22">
        <f ca="1"/>
        <v>0</v>
      </c>
      <c r="L64" s="22"/>
      <c r="M64" s="22">
        <f ca="1"/>
        <v>0</v>
      </c>
      <c r="N64" s="22"/>
      <c r="O64" s="22" t="str">
        <f ca="1"/>
        <v>Stinsel</v>
      </c>
      <c r="P64" s="22"/>
      <c r="Q64" s="22" t="str">
        <f ca="1"/>
        <v>Witte Dame</v>
      </c>
      <c r="R64" s="22"/>
      <c r="S64" s="22">
        <f ca="1"/>
        <v>0</v>
      </c>
      <c r="T64" s="22"/>
      <c r="U64" s="22">
        <f ca="1"/>
        <v>0</v>
      </c>
      <c r="V64" s="22"/>
      <c r="W64" s="22">
        <f ca="1"/>
        <v>0</v>
      </c>
      <c r="X64" s="22"/>
      <c r="Y64" s="22">
        <f ca="1"/>
        <v>0</v>
      </c>
      <c r="Z64" s="22"/>
      <c r="AA64" s="22">
        <f ca="1"/>
        <v>0</v>
      </c>
      <c r="AB64" s="22"/>
      <c r="AC64" s="22">
        <f ca="1"/>
        <v>0</v>
      </c>
      <c r="AD64" s="22"/>
      <c r="AE64" s="22" t="str">
        <f ca="1"/>
        <v>Simon Tahamata</v>
      </c>
      <c r="AF64" s="22"/>
      <c r="AG64" s="22">
        <f ca="1"/>
        <v>0</v>
      </c>
      <c r="AH64" s="22"/>
      <c r="AI64" s="22" t="str">
        <f ca="1"/>
        <v>Stinsel</v>
      </c>
      <c r="AJ64" s="22"/>
      <c r="AK64" s="22">
        <f ca="1"/>
        <v>0</v>
      </c>
      <c r="AL64" s="22"/>
      <c r="AM64" s="22" t="str">
        <f ca="1"/>
        <v>Ria Valk</v>
      </c>
      <c r="AN64" s="22"/>
      <c r="AO64" s="22">
        <f ca="1"/>
        <v>0</v>
      </c>
    </row>
    <row r="65" spans="1:41" x14ac:dyDescent="0.25">
      <c r="A65" s="22">
        <f ca="1"/>
        <v>0</v>
      </c>
      <c r="B65" s="22"/>
      <c r="C65" s="22">
        <f ca="1"/>
        <v>0</v>
      </c>
      <c r="D65" s="22"/>
      <c r="E65" s="22">
        <f ca="1"/>
        <v>0</v>
      </c>
      <c r="F65" s="22"/>
      <c r="G65" s="22">
        <f ca="1"/>
        <v>0</v>
      </c>
      <c r="H65" s="22"/>
      <c r="I65" s="22" t="str">
        <f ca="1"/>
        <v>Maurick</v>
      </c>
      <c r="J65" s="22"/>
      <c r="K65" s="22">
        <f ca="1"/>
        <v>0</v>
      </c>
      <c r="L65" s="22"/>
      <c r="M65" s="22">
        <f ca="1"/>
        <v>0</v>
      </c>
      <c r="N65" s="22"/>
      <c r="O65" s="22" t="str">
        <f ca="1"/>
        <v>Strontrapers</v>
      </c>
      <c r="P65" s="22"/>
      <c r="Q65" s="22">
        <f ca="1"/>
        <v>0</v>
      </c>
      <c r="R65" s="22"/>
      <c r="S65" s="22">
        <f ca="1"/>
        <v>0</v>
      </c>
      <c r="T65" s="22"/>
      <c r="U65" s="22">
        <f ca="1"/>
        <v>0</v>
      </c>
      <c r="V65" s="22"/>
      <c r="W65" s="22">
        <f ca="1"/>
        <v>0</v>
      </c>
      <c r="X65" s="22"/>
      <c r="Y65" s="22">
        <f ca="1"/>
        <v>0</v>
      </c>
      <c r="Z65" s="22"/>
      <c r="AA65" s="22">
        <f ca="1"/>
        <v>0</v>
      </c>
      <c r="AB65" s="22"/>
      <c r="AC65" s="22">
        <f ca="1"/>
        <v>0</v>
      </c>
      <c r="AD65" s="22"/>
      <c r="AE65" s="22" t="str">
        <f ca="1"/>
        <v>t Zand</v>
      </c>
      <c r="AF65" s="22"/>
      <c r="AG65" s="22">
        <f ca="1"/>
        <v>0</v>
      </c>
      <c r="AH65" s="22"/>
      <c r="AI65" s="22" t="str">
        <f ca="1"/>
        <v>Strontrapers</v>
      </c>
      <c r="AJ65" s="22"/>
      <c r="AK65" s="22">
        <f ca="1"/>
        <v>0</v>
      </c>
      <c r="AL65" s="22"/>
      <c r="AM65" s="22" t="str">
        <f ca="1"/>
        <v>Ripasso</v>
      </c>
      <c r="AN65" s="22"/>
      <c r="AO65" s="22">
        <f ca="1"/>
        <v>0</v>
      </c>
    </row>
    <row r="66" spans="1:41" x14ac:dyDescent="0.25">
      <c r="A66" s="22">
        <f ca="1"/>
        <v>0</v>
      </c>
      <c r="B66" s="22"/>
      <c r="C66" s="22">
        <f ca="1"/>
        <v>0</v>
      </c>
      <c r="D66" s="22"/>
      <c r="E66" s="22">
        <f ca="1"/>
        <v>0</v>
      </c>
      <c r="F66" s="22"/>
      <c r="G66" s="22">
        <f ca="1"/>
        <v>0</v>
      </c>
      <c r="H66" s="22"/>
      <c r="I66" s="22" t="str">
        <f ca="1"/>
        <v>Maurick</v>
      </c>
      <c r="J66" s="22"/>
      <c r="K66" s="22">
        <f ca="1"/>
        <v>0</v>
      </c>
      <c r="L66" s="22"/>
      <c r="M66" s="22">
        <f ca="1"/>
        <v>0</v>
      </c>
      <c r="N66" s="22"/>
      <c r="O66" s="22" t="str">
        <f ca="1"/>
        <v>Venkraai</v>
      </c>
      <c r="P66" s="22"/>
      <c r="Q66" s="22">
        <f ca="1"/>
        <v>0</v>
      </c>
      <c r="R66" s="22"/>
      <c r="S66" s="22">
        <f ca="1"/>
        <v>0</v>
      </c>
      <c r="T66" s="22"/>
      <c r="U66" s="22">
        <f ca="1"/>
        <v>0</v>
      </c>
      <c r="V66" s="22"/>
      <c r="W66" s="22">
        <f ca="1"/>
        <v>0</v>
      </c>
      <c r="X66" s="22"/>
      <c r="Y66" s="22">
        <f ca="1"/>
        <v>0</v>
      </c>
      <c r="Z66" s="22"/>
      <c r="AA66" s="22">
        <f ca="1"/>
        <v>0</v>
      </c>
      <c r="AB66" s="22"/>
      <c r="AC66" s="22">
        <f ca="1"/>
        <v>0</v>
      </c>
      <c r="AD66" s="22"/>
      <c r="AE66" s="22" t="str">
        <f ca="1"/>
        <v>Van Geel</v>
      </c>
      <c r="AF66" s="22"/>
      <c r="AG66" s="22">
        <f ca="1"/>
        <v>0</v>
      </c>
      <c r="AH66" s="22"/>
      <c r="AI66" s="22" t="str">
        <f ca="1"/>
        <v>t Kruiken(plein)</v>
      </c>
      <c r="AJ66" s="22"/>
      <c r="AK66" s="22">
        <f ca="1"/>
        <v>0</v>
      </c>
      <c r="AL66" s="22"/>
      <c r="AM66" s="22" t="str">
        <f ca="1"/>
        <v>Sint Jan</v>
      </c>
      <c r="AN66" s="22"/>
      <c r="AO66" s="22">
        <f ca="1"/>
        <v>0</v>
      </c>
    </row>
    <row r="67" spans="1:41" x14ac:dyDescent="0.25">
      <c r="A67" s="22">
        <f ca="1"/>
        <v>0</v>
      </c>
      <c r="B67" s="22"/>
      <c r="C67" s="22">
        <f ca="1"/>
        <v>0</v>
      </c>
      <c r="D67" s="22"/>
      <c r="E67" s="22">
        <f ca="1"/>
        <v>0</v>
      </c>
      <c r="F67" s="22"/>
      <c r="G67" s="22">
        <f ca="1"/>
        <v>0</v>
      </c>
      <c r="H67" s="22"/>
      <c r="I67" s="22" t="str">
        <f ca="1"/>
        <v>Nooit Gedacht</v>
      </c>
      <c r="J67" s="22"/>
      <c r="K67" s="22">
        <f ca="1"/>
        <v>0</v>
      </c>
      <c r="L67" s="22"/>
      <c r="M67" s="22">
        <f ca="1"/>
        <v>0</v>
      </c>
      <c r="N67" s="22"/>
      <c r="O67" s="22">
        <f ca="1"/>
        <v>0</v>
      </c>
      <c r="P67" s="22"/>
      <c r="Q67" s="22">
        <f ca="1"/>
        <v>0</v>
      </c>
      <c r="R67" s="22"/>
      <c r="S67" s="22">
        <f ca="1"/>
        <v>0</v>
      </c>
      <c r="T67" s="22"/>
      <c r="U67" s="22">
        <f ca="1"/>
        <v>0</v>
      </c>
      <c r="V67" s="22"/>
      <c r="W67" s="22">
        <f ca="1"/>
        <v>0</v>
      </c>
      <c r="X67" s="22"/>
      <c r="Y67" s="22">
        <f ca="1"/>
        <v>0</v>
      </c>
      <c r="Z67" s="22"/>
      <c r="AA67" s="22">
        <f ca="1"/>
        <v>0</v>
      </c>
      <c r="AB67" s="22"/>
      <c r="AC67" s="22">
        <f ca="1"/>
        <v>0</v>
      </c>
      <c r="AD67" s="22"/>
      <c r="AE67" s="22" t="str">
        <f ca="1"/>
        <v>Van Roessel</v>
      </c>
      <c r="AF67" s="22"/>
      <c r="AG67" s="22">
        <f ca="1"/>
        <v>0</v>
      </c>
      <c r="AH67" s="22"/>
      <c r="AI67" s="22" t="str">
        <f ca="1"/>
        <v>Worstenbroodje (WB)</v>
      </c>
      <c r="AJ67" s="22"/>
      <c r="AK67" s="22">
        <f ca="1"/>
        <v>0</v>
      </c>
      <c r="AL67" s="22"/>
      <c r="AM67" s="22" t="str">
        <f ca="1"/>
        <v>Stinsel</v>
      </c>
      <c r="AN67" s="22"/>
      <c r="AO67" s="22">
        <f ca="1"/>
        <v>0</v>
      </c>
    </row>
    <row r="68" spans="1:41" x14ac:dyDescent="0.25">
      <c r="A68" s="22">
        <f ca="1"/>
        <v>0</v>
      </c>
      <c r="B68" s="22"/>
      <c r="C68" s="22">
        <f ca="1"/>
        <v>0</v>
      </c>
      <c r="D68" s="22"/>
      <c r="E68" s="22">
        <f ca="1"/>
        <v>0</v>
      </c>
      <c r="F68" s="22"/>
      <c r="G68" s="22">
        <f ca="1"/>
        <v>0</v>
      </c>
      <c r="H68" s="22"/>
      <c r="I68" s="22" t="str">
        <f ca="1"/>
        <v>Pand P</v>
      </c>
      <c r="J68" s="22"/>
      <c r="K68" s="22">
        <f ca="1"/>
        <v>0</v>
      </c>
      <c r="L68" s="22"/>
      <c r="M68" s="22">
        <f ca="1"/>
        <v>0</v>
      </c>
      <c r="N68" s="22"/>
      <c r="O68" s="22">
        <f ca="1"/>
        <v>0</v>
      </c>
      <c r="P68" s="22"/>
      <c r="Q68" s="22">
        <f ca="1"/>
        <v>0</v>
      </c>
      <c r="R68" s="22"/>
      <c r="S68" s="22">
        <f ca="1"/>
        <v>0</v>
      </c>
      <c r="T68" s="22"/>
      <c r="U68" s="22">
        <f ca="1"/>
        <v>0</v>
      </c>
      <c r="V68" s="22"/>
      <c r="W68" s="22">
        <f ca="1"/>
        <v>0</v>
      </c>
      <c r="X68" s="22"/>
      <c r="Y68" s="22">
        <f ca="1"/>
        <v>0</v>
      </c>
      <c r="Z68" s="22"/>
      <c r="AA68" s="22">
        <f ca="1"/>
        <v>0</v>
      </c>
      <c r="AB68" s="22"/>
      <c r="AC68" s="22">
        <f ca="1"/>
        <v>0</v>
      </c>
      <c r="AD68" s="22"/>
      <c r="AE68" s="22" t="str">
        <f ca="1"/>
        <v>Wim van Est</v>
      </c>
      <c r="AF68" s="22"/>
      <c r="AG68" s="22">
        <f ca="1"/>
        <v>0</v>
      </c>
      <c r="AH68" s="22"/>
      <c r="AI68" s="22">
        <f ca="1"/>
        <v>0</v>
      </c>
      <c r="AJ68" s="22"/>
      <c r="AK68" s="22">
        <f ca="1"/>
        <v>0</v>
      </c>
      <c r="AL68" s="22"/>
      <c r="AM68" s="22" t="str">
        <f ca="1"/>
        <v>Van Geel</v>
      </c>
      <c r="AN68" s="22"/>
      <c r="AO68" s="22">
        <f ca="1"/>
        <v>0</v>
      </c>
    </row>
    <row r="69" spans="1:41" x14ac:dyDescent="0.25">
      <c r="A69" s="22">
        <f ca="1"/>
        <v>0</v>
      </c>
      <c r="B69" s="22"/>
      <c r="C69" s="22">
        <f ca="1"/>
        <v>0</v>
      </c>
      <c r="D69" s="22"/>
      <c r="E69" s="22">
        <f ca="1"/>
        <v>0</v>
      </c>
      <c r="F69" s="22"/>
      <c r="G69" s="22">
        <f ca="1"/>
        <v>0</v>
      </c>
      <c r="H69" s="22"/>
      <c r="I69" s="22" t="str">
        <f ca="1"/>
        <v>Ripasso</v>
      </c>
      <c r="J69" s="22"/>
      <c r="K69" s="22">
        <f ca="1"/>
        <v>0</v>
      </c>
      <c r="L69" s="22"/>
      <c r="M69" s="22">
        <f ca="1"/>
        <v>0</v>
      </c>
      <c r="N69" s="22"/>
      <c r="O69" s="22">
        <f ca="1"/>
        <v>0</v>
      </c>
      <c r="P69" s="22"/>
      <c r="Q69" s="22">
        <f ca="1"/>
        <v>0</v>
      </c>
      <c r="R69" s="22"/>
      <c r="S69" s="22">
        <f ca="1"/>
        <v>0</v>
      </c>
      <c r="T69" s="22"/>
      <c r="U69" s="22">
        <f ca="1"/>
        <v>0</v>
      </c>
      <c r="V69" s="22"/>
      <c r="W69" s="22">
        <f ca="1"/>
        <v>0</v>
      </c>
      <c r="X69" s="22"/>
      <c r="Y69" s="22">
        <f ca="1"/>
        <v>0</v>
      </c>
      <c r="Z69" s="22"/>
      <c r="AA69" s="22">
        <f ca="1"/>
        <v>0</v>
      </c>
      <c r="AB69" s="22"/>
      <c r="AC69" s="22">
        <f ca="1"/>
        <v>0</v>
      </c>
      <c r="AD69" s="22"/>
      <c r="AE69" s="22">
        <f ca="1"/>
        <v>0</v>
      </c>
      <c r="AF69" s="22"/>
      <c r="AG69" s="22">
        <f ca="1"/>
        <v>0</v>
      </c>
      <c r="AH69" s="22"/>
      <c r="AI69" s="22">
        <f ca="1"/>
        <v>0</v>
      </c>
      <c r="AJ69" s="22"/>
      <c r="AK69" s="22">
        <f ca="1"/>
        <v>0</v>
      </c>
      <c r="AL69" s="22"/>
      <c r="AM69" s="22" t="str">
        <f ca="1"/>
        <v>Vestzak</v>
      </c>
      <c r="AN69" s="22"/>
      <c r="AO69" s="22">
        <f ca="1"/>
        <v>0</v>
      </c>
    </row>
    <row r="70" spans="1:41" x14ac:dyDescent="0.25">
      <c r="A70" s="22">
        <f ca="1"/>
        <v>0</v>
      </c>
      <c r="B70" s="22"/>
      <c r="C70" s="22">
        <f ca="1"/>
        <v>0</v>
      </c>
      <c r="D70" s="22"/>
      <c r="E70" s="22">
        <f ca="1"/>
        <v>0</v>
      </c>
      <c r="F70" s="22"/>
      <c r="G70" s="22">
        <f ca="1"/>
        <v>0</v>
      </c>
      <c r="H70" s="22"/>
      <c r="I70" s="22" t="str">
        <f ca="1"/>
        <v>Schrobbelèr</v>
      </c>
      <c r="J70" s="22"/>
      <c r="K70" s="22">
        <f ca="1"/>
        <v>0</v>
      </c>
      <c r="L70" s="22"/>
      <c r="M70" s="22">
        <f ca="1"/>
        <v>0</v>
      </c>
      <c r="N70" s="22"/>
      <c r="O70" s="22">
        <f ca="1"/>
        <v>0</v>
      </c>
      <c r="P70" s="22"/>
      <c r="Q70" s="22">
        <f ca="1"/>
        <v>0</v>
      </c>
      <c r="R70" s="22"/>
      <c r="S70" s="22">
        <f ca="1"/>
        <v>0</v>
      </c>
      <c r="T70" s="22"/>
      <c r="U70" s="22">
        <f ca="1"/>
        <v>0</v>
      </c>
      <c r="V70" s="22"/>
      <c r="W70" s="22">
        <f ca="1"/>
        <v>0</v>
      </c>
      <c r="X70" s="22"/>
      <c r="Y70" s="22">
        <f ca="1"/>
        <v>0</v>
      </c>
      <c r="Z70" s="22"/>
      <c r="AA70" s="22">
        <f ca="1"/>
        <v>0</v>
      </c>
      <c r="AB70" s="22"/>
      <c r="AC70" s="22">
        <f ca="1"/>
        <v>0</v>
      </c>
      <c r="AD70" s="22"/>
      <c r="AE70" s="22">
        <f ca="1"/>
        <v>0</v>
      </c>
      <c r="AF70" s="22"/>
      <c r="AG70" s="22">
        <f ca="1"/>
        <v>0</v>
      </c>
      <c r="AH70" s="22"/>
      <c r="AI70" s="22">
        <f ca="1"/>
        <v>0</v>
      </c>
      <c r="AJ70" s="22"/>
      <c r="AK70" s="22">
        <f ca="1"/>
        <v>0</v>
      </c>
      <c r="AL70" s="22"/>
      <c r="AM70" s="22">
        <f ca="1"/>
        <v>0</v>
      </c>
      <c r="AN70" s="22"/>
      <c r="AO70" s="22">
        <f ca="1"/>
        <v>0</v>
      </c>
    </row>
    <row r="71" spans="1:41" x14ac:dyDescent="0.25">
      <c r="A71" s="22">
        <f ca="1"/>
        <v>0</v>
      </c>
      <c r="B71" s="22"/>
      <c r="C71" s="22">
        <f ca="1"/>
        <v>0</v>
      </c>
      <c r="D71" s="22"/>
      <c r="E71" s="22">
        <f ca="1"/>
        <v>0</v>
      </c>
      <c r="F71" s="22"/>
      <c r="G71" s="22">
        <f ca="1"/>
        <v>0</v>
      </c>
      <c r="H71" s="22"/>
      <c r="I71" s="22" t="str">
        <f ca="1"/>
        <v>Sint Joris</v>
      </c>
      <c r="J71" s="22"/>
      <c r="K71" s="22">
        <f ca="1"/>
        <v>0</v>
      </c>
      <c r="L71" s="22"/>
      <c r="M71" s="22">
        <f ca="1"/>
        <v>0</v>
      </c>
      <c r="N71" s="22"/>
      <c r="O71" s="22">
        <f ca="1"/>
        <v>0</v>
      </c>
      <c r="P71" s="22"/>
      <c r="Q71" s="22">
        <f ca="1"/>
        <v>0</v>
      </c>
      <c r="R71" s="22"/>
      <c r="S71" s="22">
        <f ca="1"/>
        <v>0</v>
      </c>
      <c r="T71" s="22"/>
      <c r="U71" s="22">
        <f ca="1"/>
        <v>0</v>
      </c>
      <c r="V71" s="22"/>
      <c r="W71" s="22">
        <f ca="1"/>
        <v>0</v>
      </c>
      <c r="X71" s="22"/>
      <c r="Y71" s="22">
        <f ca="1"/>
        <v>0</v>
      </c>
      <c r="Z71" s="22"/>
      <c r="AA71" s="22">
        <f ca="1"/>
        <v>0</v>
      </c>
      <c r="AB71" s="22"/>
      <c r="AC71" s="22">
        <f ca="1"/>
        <v>0</v>
      </c>
      <c r="AD71" s="22"/>
      <c r="AE71" s="22">
        <f ca="1"/>
        <v>0</v>
      </c>
      <c r="AF71" s="22"/>
      <c r="AG71" s="22">
        <f ca="1"/>
        <v>0</v>
      </c>
      <c r="AH71" s="22"/>
      <c r="AI71" s="22">
        <f ca="1"/>
        <v>0</v>
      </c>
      <c r="AJ71" s="22"/>
      <c r="AK71" s="22">
        <f ca="1"/>
        <v>0</v>
      </c>
      <c r="AL71" s="22"/>
      <c r="AM71" s="22">
        <f ca="1"/>
        <v>0</v>
      </c>
      <c r="AN71" s="22"/>
      <c r="AO71" s="22">
        <f ca="1"/>
        <v>0</v>
      </c>
    </row>
    <row r="72" spans="1:41" x14ac:dyDescent="0.25">
      <c r="A72" s="22">
        <f ca="1"/>
        <v>0</v>
      </c>
      <c r="B72" s="22"/>
      <c r="C72" s="22">
        <f ca="1"/>
        <v>0</v>
      </c>
      <c r="D72" s="22"/>
      <c r="E72" s="22">
        <f ca="1"/>
        <v>0</v>
      </c>
      <c r="F72" s="22"/>
      <c r="G72" s="22">
        <f ca="1"/>
        <v>0</v>
      </c>
      <c r="H72" s="22"/>
      <c r="I72" s="22" t="str">
        <f ca="1"/>
        <v>t Kruiken(plein)</v>
      </c>
      <c r="J72" s="22"/>
      <c r="K72" s="22">
        <f ca="1"/>
        <v>0</v>
      </c>
      <c r="L72" s="22"/>
      <c r="M72" s="22">
        <f ca="1"/>
        <v>0</v>
      </c>
      <c r="N72" s="22"/>
      <c r="O72" s="22">
        <f ca="1"/>
        <v>0</v>
      </c>
      <c r="P72" s="22"/>
      <c r="Q72" s="22">
        <f ca="1"/>
        <v>0</v>
      </c>
      <c r="R72" s="22"/>
      <c r="S72" s="22">
        <f ca="1"/>
        <v>0</v>
      </c>
      <c r="T72" s="22"/>
      <c r="U72" s="22">
        <f ca="1"/>
        <v>0</v>
      </c>
      <c r="V72" s="22"/>
      <c r="W72" s="22">
        <f ca="1"/>
        <v>0</v>
      </c>
      <c r="X72" s="22"/>
      <c r="Y72" s="22">
        <f ca="1"/>
        <v>0</v>
      </c>
      <c r="Z72" s="22"/>
      <c r="AA72" s="22">
        <f ca="1"/>
        <v>0</v>
      </c>
      <c r="AB72" s="22"/>
      <c r="AC72" s="22">
        <f ca="1"/>
        <v>0</v>
      </c>
      <c r="AD72" s="22"/>
      <c r="AE72" s="22">
        <f ca="1"/>
        <v>0</v>
      </c>
      <c r="AF72" s="22"/>
      <c r="AG72" s="22">
        <f ca="1"/>
        <v>0</v>
      </c>
      <c r="AH72" s="22"/>
      <c r="AI72" s="22">
        <f ca="1"/>
        <v>0</v>
      </c>
      <c r="AJ72" s="22"/>
      <c r="AK72" s="22">
        <f ca="1"/>
        <v>0</v>
      </c>
      <c r="AL72" s="22"/>
      <c r="AM72" s="22">
        <f ca="1"/>
        <v>0</v>
      </c>
      <c r="AN72" s="22"/>
      <c r="AO72" s="22">
        <f ca="1"/>
        <v>0</v>
      </c>
    </row>
    <row r="73" spans="1:41" x14ac:dyDescent="0.25">
      <c r="A73" s="22">
        <f ca="1"/>
        <v>0</v>
      </c>
      <c r="B73" s="22"/>
      <c r="C73" s="22">
        <f ca="1"/>
        <v>0</v>
      </c>
      <c r="D73" s="22"/>
      <c r="E73" s="22">
        <f ca="1"/>
        <v>0</v>
      </c>
      <c r="F73" s="22"/>
      <c r="G73" s="22">
        <f ca="1"/>
        <v>0</v>
      </c>
      <c r="H73" s="22"/>
      <c r="I73" s="22" t="str">
        <f ca="1"/>
        <v>Van Roessel</v>
      </c>
      <c r="J73" s="22"/>
      <c r="K73" s="22">
        <f ca="1"/>
        <v>0</v>
      </c>
      <c r="L73" s="22"/>
      <c r="M73" s="22">
        <f ca="1"/>
        <v>0</v>
      </c>
      <c r="N73" s="22"/>
      <c r="O73" s="22">
        <f ca="1"/>
        <v>0</v>
      </c>
      <c r="P73" s="22"/>
      <c r="Q73" s="22">
        <f ca="1"/>
        <v>0</v>
      </c>
      <c r="R73" s="22"/>
      <c r="S73" s="22">
        <f ca="1"/>
        <v>0</v>
      </c>
      <c r="T73" s="22"/>
      <c r="U73" s="22">
        <f ca="1"/>
        <v>0</v>
      </c>
      <c r="V73" s="22"/>
      <c r="W73" s="22">
        <f ca="1"/>
        <v>0</v>
      </c>
      <c r="X73" s="22"/>
      <c r="Y73" s="22">
        <f ca="1"/>
        <v>0</v>
      </c>
      <c r="Z73" s="22"/>
      <c r="AA73" s="22">
        <f ca="1"/>
        <v>0</v>
      </c>
      <c r="AB73" s="22"/>
      <c r="AC73" s="22">
        <f ca="1"/>
        <v>0</v>
      </c>
      <c r="AD73" s="22"/>
      <c r="AE73" s="22">
        <f ca="1"/>
        <v>0</v>
      </c>
      <c r="AF73" s="22"/>
      <c r="AG73" s="22">
        <f ca="1"/>
        <v>0</v>
      </c>
      <c r="AH73" s="22"/>
      <c r="AI73" s="22">
        <f ca="1"/>
        <v>0</v>
      </c>
      <c r="AJ73" s="22"/>
      <c r="AK73" s="22">
        <f ca="1"/>
        <v>0</v>
      </c>
      <c r="AL73" s="22"/>
      <c r="AM73" s="22">
        <f ca="1"/>
        <v>0</v>
      </c>
      <c r="AN73" s="22"/>
      <c r="AO73" s="22">
        <f ca="1"/>
        <v>0</v>
      </c>
    </row>
    <row r="74" spans="1:41" x14ac:dyDescent="0.25">
      <c r="A74" s="22">
        <f ca="1"/>
        <v>0</v>
      </c>
      <c r="B74" s="22"/>
      <c r="C74" s="22">
        <f ca="1"/>
        <v>0</v>
      </c>
      <c r="D74" s="22"/>
      <c r="E74" s="22">
        <f ca="1"/>
        <v>0</v>
      </c>
      <c r="F74" s="22"/>
      <c r="G74" s="22">
        <f ca="1"/>
        <v>0</v>
      </c>
      <c r="H74" s="22"/>
      <c r="I74" s="22" t="str">
        <f ca="1"/>
        <v>Venkraai</v>
      </c>
      <c r="J74" s="22"/>
      <c r="K74" s="22">
        <f ca="1"/>
        <v>0</v>
      </c>
      <c r="L74" s="22"/>
      <c r="M74" s="22">
        <f ca="1"/>
        <v>0</v>
      </c>
      <c r="N74" s="22"/>
      <c r="O74" s="22">
        <f ca="1"/>
        <v>0</v>
      </c>
      <c r="P74" s="22"/>
      <c r="Q74" s="22">
        <f ca="1"/>
        <v>0</v>
      </c>
      <c r="R74" s="22"/>
      <c r="S74" s="22">
        <f ca="1"/>
        <v>0</v>
      </c>
      <c r="T74" s="22"/>
      <c r="U74" s="22">
        <f ca="1"/>
        <v>0</v>
      </c>
      <c r="V74" s="22"/>
      <c r="W74" s="22">
        <f ca="1"/>
        <v>0</v>
      </c>
      <c r="X74" s="22"/>
      <c r="Y74" s="22">
        <f ca="1"/>
        <v>0</v>
      </c>
      <c r="Z74" s="22"/>
      <c r="AA74" s="22">
        <f ca="1"/>
        <v>0</v>
      </c>
      <c r="AB74" s="22"/>
      <c r="AC74" s="22">
        <f ca="1"/>
        <v>0</v>
      </c>
      <c r="AD74" s="22"/>
      <c r="AE74" s="22">
        <f ca="1"/>
        <v>0</v>
      </c>
      <c r="AF74" s="22"/>
      <c r="AG74" s="22">
        <f ca="1"/>
        <v>0</v>
      </c>
      <c r="AH74" s="22"/>
      <c r="AI74" s="22">
        <f ca="1"/>
        <v>0</v>
      </c>
      <c r="AJ74" s="22"/>
      <c r="AK74" s="22">
        <f ca="1"/>
        <v>0</v>
      </c>
      <c r="AL74" s="22"/>
      <c r="AM74" s="22">
        <f ca="1"/>
        <v>0</v>
      </c>
      <c r="AN74" s="22"/>
      <c r="AO74" s="22">
        <f ca="1"/>
        <v>0</v>
      </c>
    </row>
    <row r="75" spans="1:41" x14ac:dyDescent="0.25">
      <c r="A75" s="22">
        <f ca="1"/>
        <v>0</v>
      </c>
      <c r="B75" s="22"/>
      <c r="C75" s="22">
        <f ca="1"/>
        <v>0</v>
      </c>
      <c r="D75" s="22"/>
      <c r="E75" s="22">
        <f ca="1"/>
        <v>0</v>
      </c>
      <c r="F75" s="22"/>
      <c r="G75" s="22">
        <f ca="1"/>
        <v>0</v>
      </c>
      <c r="H75" s="22"/>
      <c r="I75" s="22" t="str">
        <f ca="1"/>
        <v>Worstenbroodje (WB)</v>
      </c>
      <c r="J75" s="22"/>
      <c r="K75" s="22">
        <f ca="1"/>
        <v>0</v>
      </c>
      <c r="L75" s="22"/>
      <c r="M75" s="22">
        <f ca="1"/>
        <v>0</v>
      </c>
      <c r="N75" s="22"/>
      <c r="O75" s="22">
        <f ca="1"/>
        <v>0</v>
      </c>
      <c r="P75" s="22"/>
      <c r="Q75" s="22">
        <f ca="1"/>
        <v>0</v>
      </c>
      <c r="R75" s="22"/>
      <c r="S75" s="22">
        <f ca="1"/>
        <v>0</v>
      </c>
      <c r="T75" s="22"/>
      <c r="U75" s="22">
        <f ca="1"/>
        <v>0</v>
      </c>
      <c r="V75" s="22"/>
      <c r="W75" s="22">
        <f ca="1"/>
        <v>0</v>
      </c>
      <c r="X75" s="22"/>
      <c r="Y75" s="22">
        <f ca="1"/>
        <v>0</v>
      </c>
      <c r="Z75" s="22"/>
      <c r="AA75" s="22">
        <f ca="1"/>
        <v>0</v>
      </c>
      <c r="AB75" s="22"/>
      <c r="AC75" s="22">
        <f ca="1"/>
        <v>0</v>
      </c>
      <c r="AD75" s="22"/>
      <c r="AE75" s="22">
        <f ca="1"/>
        <v>0</v>
      </c>
      <c r="AF75" s="22"/>
      <c r="AG75" s="22">
        <f ca="1"/>
        <v>0</v>
      </c>
      <c r="AH75" s="22"/>
      <c r="AI75" s="22">
        <f ca="1"/>
        <v>0</v>
      </c>
      <c r="AJ75" s="22"/>
      <c r="AK75" s="22">
        <f ca="1"/>
        <v>0</v>
      </c>
      <c r="AL75" s="22"/>
      <c r="AM75" s="22">
        <f ca="1"/>
        <v>0</v>
      </c>
      <c r="AN75" s="22"/>
      <c r="AO75" s="22">
        <f ca="1"/>
        <v>0</v>
      </c>
    </row>
    <row r="76" spans="1:41" x14ac:dyDescent="0.25">
      <c r="A76" s="22">
        <f ca="1"/>
        <v>0</v>
      </c>
      <c r="B76" s="22"/>
      <c r="C76" s="22">
        <f ca="1"/>
        <v>0</v>
      </c>
      <c r="D76" s="22"/>
      <c r="E76" s="22">
        <f ca="1"/>
        <v>0</v>
      </c>
      <c r="F76" s="22"/>
      <c r="G76" s="22">
        <f ca="1"/>
        <v>0</v>
      </c>
      <c r="H76" s="22"/>
      <c r="I76" s="22" t="str">
        <f ca="1"/>
        <v>7ende Hemel</v>
      </c>
      <c r="J76" s="22"/>
      <c r="K76" s="22">
        <f ca="1"/>
        <v>0</v>
      </c>
      <c r="L76" s="22"/>
      <c r="M76" s="22">
        <f ca="1"/>
        <v>0</v>
      </c>
      <c r="N76" s="22"/>
      <c r="O76" s="22">
        <f ca="1"/>
        <v>0</v>
      </c>
      <c r="P76" s="22"/>
      <c r="Q76" s="22">
        <f ca="1"/>
        <v>0</v>
      </c>
      <c r="R76" s="22"/>
      <c r="S76" s="22">
        <f ca="1"/>
        <v>0</v>
      </c>
      <c r="T76" s="22"/>
      <c r="U76" s="22">
        <f ca="1"/>
        <v>0</v>
      </c>
      <c r="V76" s="22"/>
      <c r="W76" s="22">
        <f ca="1"/>
        <v>0</v>
      </c>
      <c r="X76" s="22"/>
      <c r="Y76" s="22">
        <f ca="1"/>
        <v>0</v>
      </c>
      <c r="Z76" s="22"/>
      <c r="AA76" s="22">
        <f ca="1"/>
        <v>0</v>
      </c>
      <c r="AB76" s="22"/>
      <c r="AC76" s="22">
        <f ca="1"/>
        <v>0</v>
      </c>
      <c r="AD76" s="22"/>
      <c r="AE76" s="22">
        <f ca="1"/>
        <v>0</v>
      </c>
      <c r="AF76" s="22"/>
      <c r="AG76" s="22">
        <f ca="1"/>
        <v>0</v>
      </c>
      <c r="AH76" s="22"/>
      <c r="AI76" s="22">
        <f ca="1"/>
        <v>0</v>
      </c>
      <c r="AJ76" s="22"/>
      <c r="AK76" s="22">
        <f ca="1"/>
        <v>0</v>
      </c>
      <c r="AL76" s="22"/>
      <c r="AM76" s="22">
        <f ca="1"/>
        <v>0</v>
      </c>
      <c r="AN76" s="22"/>
      <c r="AO76" s="22">
        <f ca="1"/>
        <v>0</v>
      </c>
    </row>
    <row r="77" spans="1:41" x14ac:dyDescent="0.25">
      <c r="A77" s="22">
        <f ca="1"/>
        <v>0</v>
      </c>
      <c r="B77" s="22"/>
      <c r="C77" s="22">
        <f ca="1"/>
        <v>0</v>
      </c>
      <c r="D77" s="22"/>
      <c r="E77" s="22">
        <f ca="1"/>
        <v>0</v>
      </c>
      <c r="F77" s="22"/>
      <c r="G77" s="22">
        <f ca="1"/>
        <v>0</v>
      </c>
      <c r="H77" s="22"/>
      <c r="I77" s="22">
        <f ca="1"/>
        <v>0</v>
      </c>
      <c r="J77" s="22"/>
      <c r="K77" s="22">
        <f ca="1"/>
        <v>0</v>
      </c>
      <c r="L77" s="22"/>
      <c r="M77" s="22">
        <f ca="1"/>
        <v>0</v>
      </c>
      <c r="N77" s="22"/>
      <c r="O77" s="22">
        <f ca="1"/>
        <v>0</v>
      </c>
      <c r="P77" s="22"/>
      <c r="Q77" s="22">
        <f ca="1"/>
        <v>0</v>
      </c>
      <c r="R77" s="22"/>
      <c r="S77" s="22">
        <f ca="1"/>
        <v>0</v>
      </c>
      <c r="T77" s="22"/>
      <c r="U77" s="22">
        <f ca="1"/>
        <v>0</v>
      </c>
      <c r="V77" s="22"/>
      <c r="W77" s="22">
        <f ca="1"/>
        <v>0</v>
      </c>
      <c r="X77" s="22"/>
      <c r="Y77" s="22">
        <f ca="1"/>
        <v>0</v>
      </c>
      <c r="Z77" s="22"/>
      <c r="AA77" s="22">
        <f ca="1"/>
        <v>0</v>
      </c>
      <c r="AB77" s="22"/>
      <c r="AC77" s="22">
        <f ca="1"/>
        <v>0</v>
      </c>
      <c r="AD77" s="22"/>
      <c r="AE77" s="22">
        <f ca="1"/>
        <v>0</v>
      </c>
      <c r="AF77" s="22"/>
      <c r="AG77" s="22">
        <f ca="1"/>
        <v>0</v>
      </c>
      <c r="AH77" s="22"/>
      <c r="AI77" s="22">
        <f ca="1"/>
        <v>0</v>
      </c>
      <c r="AJ77" s="22"/>
      <c r="AK77" s="22">
        <f ca="1"/>
        <v>0</v>
      </c>
      <c r="AL77" s="22"/>
      <c r="AM77" s="22">
        <f ca="1"/>
        <v>0</v>
      </c>
      <c r="AN77" s="22"/>
      <c r="AO77" s="22">
        <f ca="1"/>
        <v>0</v>
      </c>
    </row>
    <row r="78" spans="1:41" x14ac:dyDescent="0.25">
      <c r="A78" s="22">
        <f ca="1"/>
        <v>0</v>
      </c>
      <c r="B78" s="22"/>
      <c r="C78" s="22">
        <f ca="1"/>
        <v>0</v>
      </c>
      <c r="D78" s="22"/>
      <c r="E78" s="22">
        <f ca="1"/>
        <v>0</v>
      </c>
      <c r="F78" s="22"/>
      <c r="G78" s="22">
        <f ca="1"/>
        <v>0</v>
      </c>
      <c r="H78" s="22"/>
      <c r="I78" s="22">
        <f ca="1"/>
        <v>0</v>
      </c>
      <c r="J78" s="22"/>
      <c r="K78" s="22">
        <f ca="1"/>
        <v>0</v>
      </c>
      <c r="L78" s="22"/>
      <c r="M78" s="22">
        <f ca="1"/>
        <v>0</v>
      </c>
      <c r="N78" s="22"/>
      <c r="O78" s="22">
        <f ca="1"/>
        <v>0</v>
      </c>
      <c r="P78" s="22"/>
      <c r="Q78" s="22">
        <f ca="1"/>
        <v>0</v>
      </c>
      <c r="R78" s="22"/>
      <c r="S78" s="22">
        <f ca="1"/>
        <v>0</v>
      </c>
      <c r="T78" s="22"/>
      <c r="U78" s="22">
        <f ca="1"/>
        <v>0</v>
      </c>
      <c r="V78" s="22"/>
      <c r="W78" s="22">
        <f ca="1"/>
        <v>0</v>
      </c>
      <c r="X78" s="22"/>
      <c r="Y78" s="22">
        <f ca="1"/>
        <v>0</v>
      </c>
      <c r="Z78" s="22"/>
      <c r="AA78" s="22">
        <f ca="1"/>
        <v>0</v>
      </c>
      <c r="AB78" s="22"/>
      <c r="AC78" s="22">
        <f ca="1"/>
        <v>0</v>
      </c>
      <c r="AD78" s="22"/>
      <c r="AE78" s="22">
        <f ca="1"/>
        <v>0</v>
      </c>
      <c r="AF78" s="22"/>
      <c r="AG78" s="22">
        <f ca="1"/>
        <v>0</v>
      </c>
      <c r="AH78" s="22"/>
      <c r="AI78" s="22">
        <f ca="1"/>
        <v>0</v>
      </c>
      <c r="AJ78" s="22"/>
      <c r="AK78" s="22">
        <f ca="1"/>
        <v>0</v>
      </c>
      <c r="AL78" s="22"/>
      <c r="AM78" s="22">
        <f ca="1"/>
        <v>0</v>
      </c>
      <c r="AN78" s="22"/>
      <c r="AO78" s="22">
        <f ca="1"/>
        <v>0</v>
      </c>
    </row>
    <row r="79" spans="1:41" x14ac:dyDescent="0.25">
      <c r="A79" s="22">
        <f ca="1"/>
        <v>0</v>
      </c>
      <c r="B79" s="22"/>
      <c r="C79" s="22">
        <f ca="1"/>
        <v>0</v>
      </c>
      <c r="D79" s="22"/>
      <c r="E79" s="22">
        <f ca="1"/>
        <v>0</v>
      </c>
      <c r="F79" s="22"/>
      <c r="G79" s="22">
        <f ca="1"/>
        <v>0</v>
      </c>
      <c r="H79" s="22"/>
      <c r="I79" s="22">
        <f ca="1"/>
        <v>0</v>
      </c>
      <c r="J79" s="22"/>
      <c r="K79" s="22">
        <f ca="1"/>
        <v>0</v>
      </c>
      <c r="L79" s="22"/>
      <c r="M79" s="22">
        <f ca="1"/>
        <v>0</v>
      </c>
      <c r="N79" s="22"/>
      <c r="O79" s="22">
        <f ca="1"/>
        <v>0</v>
      </c>
      <c r="P79" s="22"/>
      <c r="Q79" s="22">
        <f ca="1"/>
        <v>0</v>
      </c>
      <c r="R79" s="22"/>
      <c r="S79" s="22">
        <f ca="1"/>
        <v>0</v>
      </c>
      <c r="T79" s="22"/>
      <c r="U79" s="22">
        <f ca="1"/>
        <v>0</v>
      </c>
      <c r="V79" s="22"/>
      <c r="W79" s="22">
        <f ca="1"/>
        <v>0</v>
      </c>
      <c r="X79" s="22"/>
      <c r="Y79" s="22">
        <f ca="1"/>
        <v>0</v>
      </c>
      <c r="Z79" s="22"/>
      <c r="AA79" s="22">
        <f ca="1"/>
        <v>0</v>
      </c>
      <c r="AB79" s="22"/>
      <c r="AC79" s="22">
        <f ca="1"/>
        <v>0</v>
      </c>
      <c r="AD79" s="22"/>
      <c r="AE79" s="22">
        <f ca="1"/>
        <v>0</v>
      </c>
      <c r="AF79" s="22"/>
      <c r="AG79" s="22">
        <f ca="1"/>
        <v>0</v>
      </c>
      <c r="AH79" s="22"/>
      <c r="AI79" s="22">
        <f ca="1"/>
        <v>0</v>
      </c>
      <c r="AJ79" s="22"/>
      <c r="AK79" s="22">
        <f ca="1"/>
        <v>0</v>
      </c>
      <c r="AL79" s="22"/>
      <c r="AM79" s="22">
        <f ca="1"/>
        <v>0</v>
      </c>
      <c r="AN79" s="22"/>
      <c r="AO79" s="22">
        <f ca="1"/>
        <v>0</v>
      </c>
    </row>
    <row r="80" spans="1:41" x14ac:dyDescent="0.25">
      <c r="A80" s="22">
        <f ca="1"/>
        <v>0</v>
      </c>
      <c r="B80" s="22"/>
      <c r="C80" s="22">
        <f ca="1"/>
        <v>0</v>
      </c>
      <c r="D80" s="22"/>
      <c r="E80" s="22">
        <f ca="1"/>
        <v>0</v>
      </c>
      <c r="F80" s="22"/>
      <c r="G80" s="22">
        <f ca="1"/>
        <v>0</v>
      </c>
      <c r="H80" s="22"/>
      <c r="I80" s="22">
        <f ca="1"/>
        <v>0</v>
      </c>
      <c r="J80" s="22"/>
      <c r="K80" s="22">
        <f ca="1"/>
        <v>0</v>
      </c>
      <c r="L80" s="22"/>
      <c r="M80" s="22">
        <f ca="1"/>
        <v>0</v>
      </c>
      <c r="N80" s="22"/>
      <c r="O80" s="22">
        <f ca="1"/>
        <v>0</v>
      </c>
      <c r="P80" s="22"/>
      <c r="Q80" s="22">
        <f ca="1"/>
        <v>0</v>
      </c>
      <c r="R80" s="22"/>
      <c r="S80" s="22">
        <f ca="1"/>
        <v>0</v>
      </c>
      <c r="T80" s="22"/>
      <c r="U80" s="22">
        <f ca="1"/>
        <v>0</v>
      </c>
      <c r="V80" s="22"/>
      <c r="W80" s="22">
        <f ca="1"/>
        <v>0</v>
      </c>
      <c r="X80" s="22"/>
      <c r="Y80" s="22">
        <f ca="1"/>
        <v>0</v>
      </c>
      <c r="Z80" s="22"/>
      <c r="AA80" s="22">
        <f ca="1"/>
        <v>0</v>
      </c>
      <c r="AB80" s="22"/>
      <c r="AC80" s="22">
        <f ca="1"/>
        <v>0</v>
      </c>
      <c r="AD80" s="22"/>
      <c r="AE80" s="22">
        <f ca="1"/>
        <v>0</v>
      </c>
      <c r="AF80" s="22"/>
      <c r="AG80" s="22">
        <f ca="1"/>
        <v>0</v>
      </c>
      <c r="AH80" s="22"/>
      <c r="AI80" s="22">
        <f ca="1"/>
        <v>0</v>
      </c>
      <c r="AJ80" s="22"/>
      <c r="AK80" s="22">
        <f ca="1"/>
        <v>0</v>
      </c>
      <c r="AL80" s="22"/>
      <c r="AM80" s="22">
        <f ca="1"/>
        <v>0</v>
      </c>
      <c r="AN80" s="22"/>
      <c r="AO80" s="22">
        <f ca="1"/>
        <v>0</v>
      </c>
    </row>
    <row r="81" spans="1:41" x14ac:dyDescent="0.25">
      <c r="A81" s="22">
        <f ca="1"/>
        <v>0</v>
      </c>
      <c r="B81" s="22"/>
      <c r="C81" s="22">
        <f ca="1"/>
        <v>0</v>
      </c>
      <c r="D81" s="22"/>
      <c r="E81" s="22">
        <f ca="1"/>
        <v>0</v>
      </c>
      <c r="F81" s="22"/>
      <c r="G81" s="22">
        <f ca="1"/>
        <v>0</v>
      </c>
      <c r="H81" s="22"/>
      <c r="I81" s="22">
        <f ca="1"/>
        <v>0</v>
      </c>
      <c r="J81" s="22"/>
      <c r="K81" s="22">
        <f ca="1"/>
        <v>0</v>
      </c>
      <c r="L81" s="22"/>
      <c r="M81" s="22">
        <f ca="1"/>
        <v>0</v>
      </c>
      <c r="N81" s="22"/>
      <c r="O81" s="22">
        <f ca="1"/>
        <v>0</v>
      </c>
      <c r="P81" s="22"/>
      <c r="Q81" s="22">
        <f ca="1"/>
        <v>0</v>
      </c>
      <c r="R81" s="22"/>
      <c r="S81" s="22">
        <f ca="1"/>
        <v>0</v>
      </c>
      <c r="T81" s="22"/>
      <c r="U81" s="22">
        <f ca="1"/>
        <v>0</v>
      </c>
      <c r="V81" s="22"/>
      <c r="W81" s="22">
        <f ca="1"/>
        <v>0</v>
      </c>
      <c r="X81" s="22"/>
      <c r="Y81" s="22">
        <f ca="1"/>
        <v>0</v>
      </c>
      <c r="Z81" s="22"/>
      <c r="AA81" s="22">
        <f ca="1"/>
        <v>0</v>
      </c>
      <c r="AB81" s="22"/>
      <c r="AC81" s="22">
        <f ca="1"/>
        <v>0</v>
      </c>
      <c r="AD81" s="22"/>
      <c r="AE81" s="22">
        <f ca="1"/>
        <v>0</v>
      </c>
      <c r="AF81" s="22"/>
      <c r="AG81" s="22">
        <f ca="1"/>
        <v>0</v>
      </c>
      <c r="AH81" s="22"/>
      <c r="AI81" s="22">
        <f ca="1"/>
        <v>0</v>
      </c>
      <c r="AJ81" s="22"/>
      <c r="AK81" s="22">
        <f ca="1"/>
        <v>0</v>
      </c>
      <c r="AL81" s="22"/>
      <c r="AM81" s="22">
        <f ca="1"/>
        <v>0</v>
      </c>
      <c r="AN81" s="22"/>
      <c r="AO81" s="22">
        <f ca="1"/>
        <v>0</v>
      </c>
    </row>
    <row r="82" spans="1:41" x14ac:dyDescent="0.25">
      <c r="A82" s="22">
        <f ca="1"/>
        <v>0</v>
      </c>
      <c r="B82" s="22"/>
      <c r="C82" s="22">
        <f ca="1"/>
        <v>0</v>
      </c>
      <c r="D82" s="22"/>
      <c r="E82" s="22">
        <f ca="1"/>
        <v>0</v>
      </c>
      <c r="F82" s="22"/>
      <c r="G82" s="22">
        <f ca="1"/>
        <v>0</v>
      </c>
      <c r="H82" s="22"/>
      <c r="I82" s="22">
        <f ca="1"/>
        <v>0</v>
      </c>
      <c r="J82" s="22"/>
      <c r="K82" s="22">
        <f ca="1"/>
        <v>0</v>
      </c>
      <c r="L82" s="22"/>
      <c r="M82" s="22">
        <f ca="1"/>
        <v>0</v>
      </c>
      <c r="N82" s="22"/>
      <c r="O82" s="22">
        <f ca="1"/>
        <v>0</v>
      </c>
      <c r="P82" s="22"/>
      <c r="Q82" s="22">
        <f ca="1"/>
        <v>0</v>
      </c>
      <c r="R82" s="22"/>
      <c r="S82" s="22">
        <f ca="1"/>
        <v>0</v>
      </c>
      <c r="T82" s="22"/>
      <c r="U82" s="22">
        <f ca="1"/>
        <v>0</v>
      </c>
      <c r="V82" s="22"/>
      <c r="W82" s="22">
        <f ca="1"/>
        <v>0</v>
      </c>
      <c r="X82" s="22"/>
      <c r="Y82" s="22">
        <f ca="1"/>
        <v>0</v>
      </c>
      <c r="Z82" s="22"/>
      <c r="AA82" s="22">
        <f ca="1"/>
        <v>0</v>
      </c>
      <c r="AB82" s="22"/>
      <c r="AC82" s="22">
        <f ca="1"/>
        <v>0</v>
      </c>
      <c r="AD82" s="22"/>
      <c r="AE82" s="22">
        <f ca="1"/>
        <v>0</v>
      </c>
      <c r="AF82" s="22"/>
      <c r="AG82" s="22">
        <f ca="1"/>
        <v>0</v>
      </c>
      <c r="AH82" s="22"/>
      <c r="AI82" s="22">
        <f ca="1"/>
        <v>0</v>
      </c>
      <c r="AJ82" s="22"/>
      <c r="AK82" s="22">
        <f ca="1"/>
        <v>0</v>
      </c>
      <c r="AL82" s="22"/>
      <c r="AM82" s="22">
        <f ca="1"/>
        <v>0</v>
      </c>
      <c r="AN82" s="22"/>
      <c r="AO82" s="22">
        <f ca="1"/>
        <v>0</v>
      </c>
    </row>
    <row r="83" spans="1:41" x14ac:dyDescent="0.25">
      <c r="A83" s="22">
        <f ca="1"/>
        <v>0</v>
      </c>
      <c r="B83" s="22"/>
      <c r="C83" s="22">
        <f ca="1"/>
        <v>0</v>
      </c>
      <c r="D83" s="22"/>
      <c r="E83" s="22">
        <f ca="1"/>
        <v>0</v>
      </c>
      <c r="F83" s="22"/>
      <c r="G83" s="22">
        <f ca="1"/>
        <v>0</v>
      </c>
      <c r="H83" s="22"/>
      <c r="I83" s="22">
        <f ca="1"/>
        <v>0</v>
      </c>
      <c r="J83" s="22"/>
      <c r="K83" s="22">
        <f ca="1"/>
        <v>0</v>
      </c>
      <c r="L83" s="22"/>
      <c r="M83" s="22">
        <f ca="1"/>
        <v>0</v>
      </c>
      <c r="N83" s="22"/>
      <c r="O83" s="22">
        <f ca="1"/>
        <v>0</v>
      </c>
      <c r="P83" s="22"/>
      <c r="Q83" s="22">
        <f ca="1"/>
        <v>0</v>
      </c>
      <c r="R83" s="22"/>
      <c r="S83" s="22">
        <f ca="1"/>
        <v>0</v>
      </c>
      <c r="T83" s="22"/>
      <c r="U83" s="22">
        <f ca="1"/>
        <v>0</v>
      </c>
      <c r="V83" s="22"/>
      <c r="W83" s="22">
        <f ca="1"/>
        <v>0</v>
      </c>
      <c r="X83" s="22"/>
      <c r="Y83" s="22">
        <f ca="1"/>
        <v>0</v>
      </c>
      <c r="Z83" s="22"/>
      <c r="AA83" s="22">
        <f ca="1"/>
        <v>0</v>
      </c>
      <c r="AB83" s="22"/>
      <c r="AC83" s="22">
        <f ca="1"/>
        <v>0</v>
      </c>
      <c r="AD83" s="22"/>
      <c r="AE83" s="22">
        <f ca="1"/>
        <v>0</v>
      </c>
      <c r="AF83" s="22"/>
      <c r="AG83" s="22">
        <f ca="1"/>
        <v>0</v>
      </c>
      <c r="AH83" s="22"/>
      <c r="AI83" s="22">
        <f ca="1"/>
        <v>0</v>
      </c>
      <c r="AJ83" s="22"/>
      <c r="AK83" s="22">
        <f ca="1"/>
        <v>0</v>
      </c>
      <c r="AL83" s="22"/>
      <c r="AM83" s="22">
        <f ca="1"/>
        <v>0</v>
      </c>
      <c r="AN83" s="22"/>
      <c r="AO83" s="22">
        <f ca="1"/>
        <v>0</v>
      </c>
    </row>
    <row r="84" spans="1:41" x14ac:dyDescent="0.25">
      <c r="A84" s="22">
        <f ca="1"/>
        <v>0</v>
      </c>
      <c r="B84" s="22"/>
      <c r="C84" s="22">
        <f ca="1"/>
        <v>0</v>
      </c>
      <c r="D84" s="22"/>
      <c r="E84" s="22">
        <f ca="1"/>
        <v>0</v>
      </c>
      <c r="F84" s="22"/>
      <c r="G84" s="22">
        <f ca="1"/>
        <v>0</v>
      </c>
      <c r="H84" s="22"/>
      <c r="I84" s="22">
        <f ca="1"/>
        <v>0</v>
      </c>
      <c r="J84" s="22"/>
      <c r="K84" s="22">
        <f ca="1"/>
        <v>0</v>
      </c>
      <c r="L84" s="22"/>
      <c r="M84" s="22">
        <f ca="1"/>
        <v>0</v>
      </c>
      <c r="N84" s="22"/>
      <c r="O84" s="22">
        <f ca="1"/>
        <v>0</v>
      </c>
      <c r="P84" s="22"/>
      <c r="Q84" s="22">
        <f ca="1"/>
        <v>0</v>
      </c>
      <c r="R84" s="22"/>
      <c r="S84" s="22">
        <f ca="1"/>
        <v>0</v>
      </c>
      <c r="T84" s="22"/>
      <c r="U84" s="22">
        <f ca="1"/>
        <v>0</v>
      </c>
      <c r="V84" s="22"/>
      <c r="W84" s="22">
        <f ca="1"/>
        <v>0</v>
      </c>
      <c r="X84" s="22"/>
      <c r="Y84" s="22">
        <f ca="1"/>
        <v>0</v>
      </c>
      <c r="Z84" s="22"/>
      <c r="AA84" s="22">
        <f ca="1"/>
        <v>0</v>
      </c>
      <c r="AB84" s="22"/>
      <c r="AC84" s="22">
        <f ca="1"/>
        <v>0</v>
      </c>
      <c r="AD84" s="22"/>
      <c r="AE84" s="22">
        <f ca="1"/>
        <v>0</v>
      </c>
      <c r="AF84" s="22"/>
      <c r="AG84" s="22">
        <f ca="1"/>
        <v>0</v>
      </c>
      <c r="AH84" s="22"/>
      <c r="AI84" s="22">
        <f ca="1"/>
        <v>0</v>
      </c>
      <c r="AJ84" s="22"/>
      <c r="AK84" s="22">
        <f ca="1"/>
        <v>0</v>
      </c>
      <c r="AL84" s="22"/>
      <c r="AM84" s="22">
        <f ca="1"/>
        <v>0</v>
      </c>
      <c r="AN84" s="22"/>
      <c r="AO84" s="22">
        <f ca="1"/>
        <v>0</v>
      </c>
    </row>
    <row r="85" spans="1:41" x14ac:dyDescent="0.25">
      <c r="A85" s="22">
        <f ca="1"/>
        <v>0</v>
      </c>
      <c r="B85" s="22"/>
      <c r="C85" s="22">
        <f ca="1"/>
        <v>0</v>
      </c>
      <c r="D85" s="22"/>
      <c r="E85" s="22">
        <f ca="1"/>
        <v>0</v>
      </c>
      <c r="F85" s="22"/>
      <c r="G85" s="22">
        <f ca="1"/>
        <v>0</v>
      </c>
      <c r="H85" s="22"/>
      <c r="I85" s="22">
        <f ca="1"/>
        <v>0</v>
      </c>
      <c r="J85" s="22"/>
      <c r="K85" s="22">
        <f ca="1"/>
        <v>0</v>
      </c>
      <c r="L85" s="22"/>
      <c r="M85" s="22">
        <f ca="1"/>
        <v>0</v>
      </c>
      <c r="N85" s="22"/>
      <c r="O85" s="22">
        <f ca="1"/>
        <v>0</v>
      </c>
      <c r="P85" s="22"/>
      <c r="Q85" s="22">
        <f ca="1"/>
        <v>0</v>
      </c>
      <c r="R85" s="22"/>
      <c r="S85" s="22">
        <f ca="1"/>
        <v>0</v>
      </c>
      <c r="T85" s="22"/>
      <c r="U85" s="22">
        <f ca="1"/>
        <v>0</v>
      </c>
      <c r="V85" s="22"/>
      <c r="W85" s="22">
        <f ca="1"/>
        <v>0</v>
      </c>
      <c r="X85" s="22"/>
      <c r="Y85" s="22">
        <f ca="1"/>
        <v>0</v>
      </c>
      <c r="Z85" s="22"/>
      <c r="AA85" s="22">
        <f ca="1"/>
        <v>0</v>
      </c>
      <c r="AB85" s="22"/>
      <c r="AC85" s="22">
        <f ca="1"/>
        <v>0</v>
      </c>
      <c r="AD85" s="22"/>
      <c r="AE85" s="22">
        <f ca="1"/>
        <v>0</v>
      </c>
      <c r="AF85" s="22"/>
      <c r="AG85" s="22">
        <f ca="1"/>
        <v>0</v>
      </c>
      <c r="AH85" s="22"/>
      <c r="AI85" s="22">
        <f ca="1"/>
        <v>0</v>
      </c>
      <c r="AJ85" s="22"/>
      <c r="AK85" s="22">
        <f ca="1"/>
        <v>0</v>
      </c>
      <c r="AL85" s="22"/>
      <c r="AM85" s="22">
        <f ca="1"/>
        <v>0</v>
      </c>
      <c r="AN85" s="22"/>
      <c r="AO85" s="22">
        <f ca="1"/>
        <v>0</v>
      </c>
    </row>
    <row r="86" spans="1:41" x14ac:dyDescent="0.25">
      <c r="A86" s="22">
        <f ca="1"/>
        <v>0</v>
      </c>
      <c r="B86" s="22"/>
      <c r="C86" s="22">
        <f ca="1"/>
        <v>0</v>
      </c>
      <c r="D86" s="22"/>
      <c r="E86" s="22">
        <f ca="1"/>
        <v>0</v>
      </c>
      <c r="F86" s="22"/>
      <c r="G86" s="22">
        <f ca="1"/>
        <v>0</v>
      </c>
      <c r="H86" s="22"/>
      <c r="I86" s="22">
        <f ca="1"/>
        <v>0</v>
      </c>
      <c r="J86" s="22"/>
      <c r="K86" s="22">
        <f ca="1"/>
        <v>0</v>
      </c>
      <c r="L86" s="22"/>
      <c r="M86" s="22">
        <f ca="1"/>
        <v>0</v>
      </c>
      <c r="N86" s="22"/>
      <c r="O86" s="22">
        <f ca="1"/>
        <v>0</v>
      </c>
      <c r="P86" s="22"/>
      <c r="Q86" s="22">
        <f ca="1"/>
        <v>0</v>
      </c>
      <c r="R86" s="22"/>
      <c r="S86" s="22">
        <f ca="1"/>
        <v>0</v>
      </c>
      <c r="T86" s="22"/>
      <c r="U86" s="22">
        <f ca="1"/>
        <v>0</v>
      </c>
      <c r="V86" s="22"/>
      <c r="W86" s="22">
        <f ca="1"/>
        <v>0</v>
      </c>
      <c r="X86" s="22"/>
      <c r="Y86" s="22">
        <f ca="1"/>
        <v>0</v>
      </c>
      <c r="Z86" s="22"/>
      <c r="AA86" s="22">
        <f ca="1"/>
        <v>0</v>
      </c>
      <c r="AB86" s="22"/>
      <c r="AC86" s="22">
        <f ca="1"/>
        <v>0</v>
      </c>
      <c r="AD86" s="22"/>
      <c r="AE86" s="22">
        <f ca="1"/>
        <v>0</v>
      </c>
      <c r="AF86" s="22"/>
      <c r="AG86" s="22">
        <f ca="1"/>
        <v>0</v>
      </c>
      <c r="AH86" s="22"/>
      <c r="AI86" s="22">
        <f ca="1"/>
        <v>0</v>
      </c>
      <c r="AJ86" s="22"/>
      <c r="AK86" s="22">
        <f ca="1"/>
        <v>0</v>
      </c>
      <c r="AL86" s="22"/>
      <c r="AM86" s="22">
        <f ca="1"/>
        <v>0</v>
      </c>
      <c r="AN86" s="22"/>
      <c r="AO86" s="22">
        <f ca="1"/>
        <v>0</v>
      </c>
    </row>
    <row r="87" spans="1:41" x14ac:dyDescent="0.25">
      <c r="A87" s="22">
        <f ca="1"/>
        <v>0</v>
      </c>
      <c r="B87" s="22"/>
      <c r="C87" s="22">
        <f ca="1"/>
        <v>0</v>
      </c>
      <c r="D87" s="22"/>
      <c r="E87" s="22">
        <f ca="1"/>
        <v>0</v>
      </c>
      <c r="F87" s="22"/>
      <c r="G87" s="22">
        <f ca="1"/>
        <v>0</v>
      </c>
      <c r="H87" s="22"/>
      <c r="I87" s="22">
        <f ca="1"/>
        <v>0</v>
      </c>
      <c r="J87" s="22"/>
      <c r="K87" s="22">
        <f ca="1"/>
        <v>0</v>
      </c>
      <c r="L87" s="22"/>
      <c r="M87" s="22">
        <f ca="1"/>
        <v>0</v>
      </c>
      <c r="N87" s="22"/>
      <c r="O87" s="22">
        <f ca="1"/>
        <v>0</v>
      </c>
      <c r="P87" s="22"/>
      <c r="Q87" s="22">
        <f ca="1"/>
        <v>0</v>
      </c>
      <c r="R87" s="22"/>
      <c r="S87" s="22">
        <f ca="1"/>
        <v>0</v>
      </c>
      <c r="T87" s="22"/>
      <c r="U87" s="22">
        <f ca="1"/>
        <v>0</v>
      </c>
      <c r="V87" s="22"/>
      <c r="W87" s="22">
        <f ca="1"/>
        <v>0</v>
      </c>
      <c r="X87" s="22"/>
      <c r="Y87" s="22">
        <f ca="1"/>
        <v>0</v>
      </c>
      <c r="Z87" s="22"/>
      <c r="AA87" s="22">
        <f ca="1"/>
        <v>0</v>
      </c>
      <c r="AB87" s="22"/>
      <c r="AC87" s="22">
        <f ca="1"/>
        <v>0</v>
      </c>
      <c r="AD87" s="22"/>
      <c r="AE87" s="22">
        <f ca="1"/>
        <v>0</v>
      </c>
      <c r="AF87" s="22"/>
      <c r="AG87" s="22">
        <f ca="1"/>
        <v>0</v>
      </c>
      <c r="AH87" s="22"/>
      <c r="AI87" s="22">
        <f ca="1"/>
        <v>0</v>
      </c>
      <c r="AJ87" s="22"/>
      <c r="AK87" s="22">
        <f ca="1"/>
        <v>0</v>
      </c>
      <c r="AL87" s="22"/>
      <c r="AM87" s="22">
        <f ca="1"/>
        <v>0</v>
      </c>
      <c r="AN87" s="22"/>
      <c r="AO87" s="22">
        <f ca="1"/>
        <v>0</v>
      </c>
    </row>
    <row r="88" spans="1:41" x14ac:dyDescent="0.25">
      <c r="A88" s="22">
        <f ca="1"/>
        <v>0</v>
      </c>
      <c r="B88" s="22"/>
      <c r="C88" s="22">
        <f ca="1"/>
        <v>0</v>
      </c>
      <c r="D88" s="22"/>
      <c r="E88" s="22">
        <f ca="1"/>
        <v>0</v>
      </c>
      <c r="F88" s="22"/>
      <c r="G88" s="22">
        <f ca="1"/>
        <v>0</v>
      </c>
      <c r="H88" s="22"/>
      <c r="I88" s="22">
        <f ca="1"/>
        <v>0</v>
      </c>
      <c r="J88" s="22"/>
      <c r="K88" s="22">
        <f ca="1"/>
        <v>0</v>
      </c>
      <c r="L88" s="22"/>
      <c r="M88" s="22">
        <f ca="1"/>
        <v>0</v>
      </c>
      <c r="N88" s="22"/>
      <c r="O88" s="22">
        <f ca="1"/>
        <v>0</v>
      </c>
      <c r="P88" s="22"/>
      <c r="Q88" s="22">
        <f ca="1"/>
        <v>0</v>
      </c>
      <c r="R88" s="22"/>
      <c r="S88" s="22">
        <f ca="1"/>
        <v>0</v>
      </c>
      <c r="T88" s="22"/>
      <c r="U88" s="22">
        <f ca="1"/>
        <v>0</v>
      </c>
      <c r="V88" s="22"/>
      <c r="W88" s="22">
        <f ca="1"/>
        <v>0</v>
      </c>
      <c r="X88" s="22"/>
      <c r="Y88" s="22">
        <f ca="1"/>
        <v>0</v>
      </c>
      <c r="Z88" s="22"/>
      <c r="AA88" s="22">
        <f ca="1"/>
        <v>0</v>
      </c>
      <c r="AB88" s="22"/>
      <c r="AC88" s="22">
        <f ca="1"/>
        <v>0</v>
      </c>
      <c r="AD88" s="22"/>
      <c r="AE88" s="22">
        <f ca="1"/>
        <v>0</v>
      </c>
      <c r="AF88" s="22"/>
      <c r="AG88" s="22">
        <f ca="1"/>
        <v>0</v>
      </c>
      <c r="AH88" s="22"/>
      <c r="AI88" s="22">
        <f ca="1"/>
        <v>0</v>
      </c>
      <c r="AJ88" s="22"/>
      <c r="AK88" s="22">
        <f ca="1"/>
        <v>0</v>
      </c>
      <c r="AL88" s="22"/>
      <c r="AM88" s="22">
        <f ca="1"/>
        <v>0</v>
      </c>
      <c r="AN88" s="22"/>
      <c r="AO88" s="22">
        <f ca="1"/>
        <v>0</v>
      </c>
    </row>
    <row r="89" spans="1:41" x14ac:dyDescent="0.25">
      <c r="A89" s="22">
        <f ca="1"/>
        <v>0</v>
      </c>
      <c r="B89" s="22"/>
      <c r="C89" s="22">
        <f ca="1"/>
        <v>0</v>
      </c>
      <c r="D89" s="22"/>
      <c r="E89" s="22">
        <f ca="1"/>
        <v>0</v>
      </c>
      <c r="F89" s="22"/>
      <c r="G89" s="22">
        <f ca="1"/>
        <v>0</v>
      </c>
      <c r="H89" s="22"/>
      <c r="I89" s="22">
        <f ca="1"/>
        <v>0</v>
      </c>
      <c r="J89" s="22"/>
      <c r="K89" s="22">
        <f ca="1"/>
        <v>0</v>
      </c>
      <c r="L89" s="22"/>
      <c r="M89" s="22">
        <f ca="1"/>
        <v>0</v>
      </c>
      <c r="N89" s="22"/>
      <c r="O89" s="22">
        <f ca="1"/>
        <v>0</v>
      </c>
      <c r="P89" s="22"/>
      <c r="Q89" s="22">
        <f ca="1"/>
        <v>0</v>
      </c>
      <c r="R89" s="22"/>
      <c r="S89" s="22">
        <f ca="1"/>
        <v>0</v>
      </c>
      <c r="T89" s="22"/>
      <c r="U89" s="22">
        <f ca="1"/>
        <v>0</v>
      </c>
      <c r="V89" s="22"/>
      <c r="W89" s="22">
        <f ca="1"/>
        <v>0</v>
      </c>
      <c r="X89" s="22"/>
      <c r="Y89" s="22">
        <f ca="1"/>
        <v>0</v>
      </c>
      <c r="Z89" s="22"/>
      <c r="AA89" s="22">
        <f ca="1"/>
        <v>0</v>
      </c>
      <c r="AB89" s="22"/>
      <c r="AC89" s="22">
        <f ca="1"/>
        <v>0</v>
      </c>
      <c r="AD89" s="22"/>
      <c r="AE89" s="22">
        <f ca="1"/>
        <v>0</v>
      </c>
      <c r="AF89" s="22"/>
      <c r="AG89" s="22">
        <f ca="1"/>
        <v>0</v>
      </c>
      <c r="AH89" s="22"/>
      <c r="AI89" s="22">
        <f ca="1"/>
        <v>0</v>
      </c>
      <c r="AJ89" s="22"/>
      <c r="AK89" s="22">
        <f ca="1"/>
        <v>0</v>
      </c>
      <c r="AL89" s="22"/>
      <c r="AM89" s="22">
        <f ca="1"/>
        <v>0</v>
      </c>
      <c r="AN89" s="22"/>
      <c r="AO89" s="22">
        <f ca="1"/>
        <v>0</v>
      </c>
    </row>
    <row r="90" spans="1:41" x14ac:dyDescent="0.25">
      <c r="A90" s="22">
        <f ca="1"/>
        <v>0</v>
      </c>
      <c r="B90" s="22"/>
      <c r="C90" s="22">
        <f ca="1"/>
        <v>0</v>
      </c>
      <c r="D90" s="22"/>
      <c r="E90" s="22">
        <f ca="1"/>
        <v>0</v>
      </c>
      <c r="F90" s="22"/>
      <c r="G90" s="22">
        <f ca="1"/>
        <v>0</v>
      </c>
      <c r="H90" s="22"/>
      <c r="I90" s="22">
        <f ca="1"/>
        <v>0</v>
      </c>
      <c r="J90" s="22"/>
      <c r="K90" s="22">
        <f ca="1"/>
        <v>0</v>
      </c>
      <c r="L90" s="22"/>
      <c r="M90" s="22">
        <f ca="1"/>
        <v>0</v>
      </c>
      <c r="N90" s="22"/>
      <c r="O90" s="22">
        <f ca="1"/>
        <v>0</v>
      </c>
      <c r="P90" s="22"/>
      <c r="Q90" s="22">
        <f ca="1"/>
        <v>0</v>
      </c>
      <c r="R90" s="22"/>
      <c r="S90" s="22">
        <f ca="1"/>
        <v>0</v>
      </c>
      <c r="T90" s="22"/>
      <c r="U90" s="22">
        <f ca="1"/>
        <v>0</v>
      </c>
      <c r="V90" s="22"/>
      <c r="W90" s="22">
        <f ca="1"/>
        <v>0</v>
      </c>
      <c r="X90" s="22"/>
      <c r="Y90" s="22">
        <f ca="1"/>
        <v>0</v>
      </c>
      <c r="Z90" s="22"/>
      <c r="AA90" s="22">
        <f ca="1"/>
        <v>0</v>
      </c>
      <c r="AB90" s="22"/>
      <c r="AC90" s="22">
        <f ca="1"/>
        <v>0</v>
      </c>
      <c r="AD90" s="22"/>
      <c r="AE90" s="22">
        <f ca="1"/>
        <v>0</v>
      </c>
      <c r="AF90" s="22"/>
      <c r="AG90" s="22">
        <f ca="1"/>
        <v>0</v>
      </c>
      <c r="AH90" s="22"/>
      <c r="AI90" s="22">
        <f ca="1"/>
        <v>0</v>
      </c>
      <c r="AJ90" s="22"/>
      <c r="AK90" s="22">
        <f ca="1"/>
        <v>0</v>
      </c>
      <c r="AL90" s="22"/>
      <c r="AM90" s="22">
        <f ca="1"/>
        <v>0</v>
      </c>
      <c r="AN90" s="22"/>
      <c r="AO90" s="22">
        <f ca="1"/>
        <v>0</v>
      </c>
    </row>
    <row r="91" spans="1:41" x14ac:dyDescent="0.25">
      <c r="A91" s="22">
        <f ca="1"/>
        <v>0</v>
      </c>
      <c r="B91" s="22"/>
      <c r="C91" s="22">
        <f ca="1"/>
        <v>0</v>
      </c>
      <c r="D91" s="22"/>
      <c r="E91" s="22">
        <f ca="1"/>
        <v>0</v>
      </c>
      <c r="F91" s="22"/>
      <c r="G91" s="22">
        <f ca="1"/>
        <v>0</v>
      </c>
      <c r="H91" s="22"/>
      <c r="I91" s="22">
        <f ca="1"/>
        <v>0</v>
      </c>
      <c r="J91" s="22"/>
      <c r="K91" s="22">
        <f ca="1"/>
        <v>0</v>
      </c>
      <c r="L91" s="22"/>
      <c r="M91" s="22">
        <f ca="1"/>
        <v>0</v>
      </c>
      <c r="N91" s="22"/>
      <c r="O91" s="22">
        <f ca="1"/>
        <v>0</v>
      </c>
      <c r="P91" s="22"/>
      <c r="Q91" s="22">
        <f ca="1"/>
        <v>0</v>
      </c>
      <c r="R91" s="22"/>
      <c r="S91" s="22">
        <f ca="1"/>
        <v>0</v>
      </c>
      <c r="T91" s="22"/>
      <c r="U91" s="22">
        <f ca="1"/>
        <v>0</v>
      </c>
      <c r="V91" s="22"/>
      <c r="W91" s="22">
        <f ca="1"/>
        <v>0</v>
      </c>
      <c r="X91" s="22"/>
      <c r="Y91" s="22">
        <f ca="1"/>
        <v>0</v>
      </c>
      <c r="Z91" s="22"/>
      <c r="AA91" s="22">
        <f ca="1"/>
        <v>0</v>
      </c>
      <c r="AB91" s="22"/>
      <c r="AC91" s="22">
        <f ca="1"/>
        <v>0</v>
      </c>
      <c r="AD91" s="22"/>
      <c r="AE91" s="22">
        <f ca="1"/>
        <v>0</v>
      </c>
      <c r="AF91" s="22"/>
      <c r="AG91" s="22">
        <f ca="1"/>
        <v>0</v>
      </c>
      <c r="AH91" s="22"/>
      <c r="AI91" s="22">
        <f ca="1"/>
        <v>0</v>
      </c>
      <c r="AJ91" s="22"/>
      <c r="AK91" s="22">
        <f ca="1"/>
        <v>0</v>
      </c>
      <c r="AL91" s="22"/>
      <c r="AM91" s="22">
        <f ca="1"/>
        <v>0</v>
      </c>
      <c r="AN91" s="22"/>
      <c r="AO91" s="22">
        <f ca="1"/>
        <v>0</v>
      </c>
    </row>
    <row r="92" spans="1:41" x14ac:dyDescent="0.25">
      <c r="A92" s="22">
        <f ca="1"/>
        <v>0</v>
      </c>
      <c r="B92" s="22"/>
      <c r="C92" s="22">
        <f ca="1"/>
        <v>0</v>
      </c>
      <c r="D92" s="22"/>
      <c r="E92" s="22">
        <f ca="1"/>
        <v>0</v>
      </c>
      <c r="F92" s="22"/>
      <c r="G92" s="22">
        <f ca="1"/>
        <v>0</v>
      </c>
      <c r="H92" s="22"/>
      <c r="I92" s="22">
        <f ca="1"/>
        <v>0</v>
      </c>
      <c r="J92" s="22"/>
      <c r="K92" s="22">
        <f ca="1"/>
        <v>0</v>
      </c>
      <c r="L92" s="22"/>
      <c r="M92" s="22">
        <f ca="1"/>
        <v>0</v>
      </c>
      <c r="N92" s="22"/>
      <c r="O92" s="22">
        <f ca="1"/>
        <v>0</v>
      </c>
      <c r="P92" s="22"/>
      <c r="Q92" s="22">
        <f ca="1"/>
        <v>0</v>
      </c>
      <c r="R92" s="22"/>
      <c r="S92" s="22">
        <f ca="1"/>
        <v>0</v>
      </c>
      <c r="T92" s="22"/>
      <c r="U92" s="22">
        <f ca="1"/>
        <v>0</v>
      </c>
      <c r="V92" s="22"/>
      <c r="W92" s="22">
        <f ca="1"/>
        <v>0</v>
      </c>
      <c r="X92" s="22"/>
      <c r="Y92" s="22">
        <f ca="1"/>
        <v>0</v>
      </c>
      <c r="Z92" s="22"/>
      <c r="AA92" s="22">
        <f ca="1"/>
        <v>0</v>
      </c>
      <c r="AB92" s="22"/>
      <c r="AC92" s="22">
        <f ca="1"/>
        <v>0</v>
      </c>
      <c r="AD92" s="22"/>
      <c r="AE92" s="22">
        <f ca="1"/>
        <v>0</v>
      </c>
      <c r="AF92" s="22"/>
      <c r="AG92" s="22">
        <f ca="1"/>
        <v>0</v>
      </c>
      <c r="AH92" s="22"/>
      <c r="AI92" s="22">
        <f ca="1"/>
        <v>0</v>
      </c>
      <c r="AJ92" s="22"/>
      <c r="AK92" s="22">
        <f ca="1"/>
        <v>0</v>
      </c>
      <c r="AL92" s="22"/>
      <c r="AM92" s="22">
        <f ca="1"/>
        <v>0</v>
      </c>
      <c r="AN92" s="22"/>
      <c r="AO92" s="22">
        <f ca="1"/>
        <v>0</v>
      </c>
    </row>
    <row r="93" spans="1:41" x14ac:dyDescent="0.25">
      <c r="A93" s="22">
        <f ca="1"/>
        <v>0</v>
      </c>
      <c r="B93" s="22"/>
      <c r="C93" s="22">
        <f ca="1"/>
        <v>0</v>
      </c>
      <c r="D93" s="22"/>
      <c r="E93" s="22">
        <f ca="1"/>
        <v>0</v>
      </c>
      <c r="F93" s="22"/>
      <c r="G93" s="22">
        <f ca="1"/>
        <v>0</v>
      </c>
      <c r="H93" s="22"/>
      <c r="I93" s="22">
        <f ca="1"/>
        <v>0</v>
      </c>
      <c r="J93" s="22"/>
      <c r="K93" s="22">
        <f ca="1"/>
        <v>0</v>
      </c>
      <c r="L93" s="22"/>
      <c r="M93" s="22">
        <f ca="1"/>
        <v>0</v>
      </c>
      <c r="N93" s="22"/>
      <c r="O93" s="22">
        <f ca="1"/>
        <v>0</v>
      </c>
      <c r="P93" s="22"/>
      <c r="Q93" s="22">
        <f ca="1"/>
        <v>0</v>
      </c>
      <c r="R93" s="22"/>
      <c r="S93" s="22">
        <f ca="1"/>
        <v>0</v>
      </c>
      <c r="T93" s="22"/>
      <c r="U93" s="22">
        <f ca="1"/>
        <v>0</v>
      </c>
      <c r="V93" s="22"/>
      <c r="W93" s="22">
        <f ca="1"/>
        <v>0</v>
      </c>
      <c r="X93" s="22"/>
      <c r="Y93" s="22">
        <f ca="1"/>
        <v>0</v>
      </c>
      <c r="Z93" s="22"/>
      <c r="AA93" s="22">
        <f ca="1"/>
        <v>0</v>
      </c>
      <c r="AB93" s="22"/>
      <c r="AC93" s="22">
        <f ca="1"/>
        <v>0</v>
      </c>
      <c r="AD93" s="22"/>
      <c r="AE93" s="22">
        <f ca="1"/>
        <v>0</v>
      </c>
      <c r="AF93" s="22"/>
      <c r="AG93" s="22">
        <f ca="1"/>
        <v>0</v>
      </c>
      <c r="AH93" s="22"/>
      <c r="AI93" s="22">
        <f ca="1"/>
        <v>0</v>
      </c>
      <c r="AJ93" s="22"/>
      <c r="AK93" s="22">
        <f ca="1"/>
        <v>0</v>
      </c>
      <c r="AL93" s="22"/>
      <c r="AM93" s="22">
        <f ca="1"/>
        <v>0</v>
      </c>
      <c r="AN93" s="22"/>
      <c r="AO93" s="22">
        <f ca="1"/>
        <v>0</v>
      </c>
    </row>
    <row r="94" spans="1:41" x14ac:dyDescent="0.25">
      <c r="A94" s="22">
        <f ca="1"/>
        <v>0</v>
      </c>
      <c r="B94" s="22"/>
      <c r="C94" s="22">
        <f ca="1"/>
        <v>0</v>
      </c>
      <c r="D94" s="22"/>
      <c r="E94" s="22">
        <f ca="1"/>
        <v>0</v>
      </c>
      <c r="F94" s="22"/>
      <c r="G94" s="22">
        <f ca="1"/>
        <v>0</v>
      </c>
      <c r="H94" s="22"/>
      <c r="I94" s="22">
        <f ca="1"/>
        <v>0</v>
      </c>
      <c r="J94" s="22"/>
      <c r="K94" s="22">
        <f ca="1"/>
        <v>0</v>
      </c>
      <c r="L94" s="22"/>
      <c r="M94" s="22">
        <f ca="1"/>
        <v>0</v>
      </c>
      <c r="N94" s="22"/>
      <c r="O94" s="22">
        <f ca="1"/>
        <v>0</v>
      </c>
      <c r="P94" s="22"/>
      <c r="Q94" s="22">
        <f ca="1"/>
        <v>0</v>
      </c>
      <c r="R94" s="22"/>
      <c r="S94" s="22">
        <f ca="1"/>
        <v>0</v>
      </c>
      <c r="T94" s="22"/>
      <c r="U94" s="22">
        <f ca="1"/>
        <v>0</v>
      </c>
      <c r="V94" s="22"/>
      <c r="W94" s="22">
        <f ca="1"/>
        <v>0</v>
      </c>
      <c r="X94" s="22"/>
      <c r="Y94" s="22">
        <f ca="1"/>
        <v>0</v>
      </c>
      <c r="Z94" s="22"/>
      <c r="AA94" s="22">
        <f ca="1"/>
        <v>0</v>
      </c>
      <c r="AB94" s="22"/>
      <c r="AC94" s="22">
        <f ca="1"/>
        <v>0</v>
      </c>
      <c r="AD94" s="22"/>
      <c r="AE94" s="22">
        <f ca="1"/>
        <v>0</v>
      </c>
      <c r="AF94" s="22"/>
      <c r="AG94" s="22">
        <f ca="1"/>
        <v>0</v>
      </c>
      <c r="AH94" s="22"/>
      <c r="AI94" s="22">
        <f ca="1"/>
        <v>0</v>
      </c>
      <c r="AJ94" s="22"/>
      <c r="AK94" s="22">
        <f ca="1"/>
        <v>0</v>
      </c>
      <c r="AL94" s="22"/>
      <c r="AM94" s="22">
        <f ca="1"/>
        <v>0</v>
      </c>
      <c r="AN94" s="22"/>
      <c r="AO94" s="22">
        <f ca="1"/>
        <v>0</v>
      </c>
    </row>
    <row r="95" spans="1:41" x14ac:dyDescent="0.25">
      <c r="A95" s="22">
        <f ca="1"/>
        <v>0</v>
      </c>
      <c r="B95" s="22"/>
      <c r="C95" s="22">
        <f ca="1"/>
        <v>0</v>
      </c>
      <c r="D95" s="22"/>
      <c r="E95" s="22">
        <f ca="1"/>
        <v>0</v>
      </c>
      <c r="F95" s="22"/>
      <c r="G95" s="22">
        <f ca="1"/>
        <v>0</v>
      </c>
      <c r="H95" s="22"/>
      <c r="I95" s="22">
        <f ca="1"/>
        <v>0</v>
      </c>
      <c r="J95" s="22"/>
      <c r="K95" s="22">
        <f ca="1"/>
        <v>0</v>
      </c>
      <c r="L95" s="22"/>
      <c r="M95" s="22">
        <f ca="1"/>
        <v>0</v>
      </c>
      <c r="N95" s="22"/>
      <c r="O95" s="22">
        <f ca="1"/>
        <v>0</v>
      </c>
      <c r="P95" s="22"/>
      <c r="Q95" s="22">
        <f ca="1"/>
        <v>0</v>
      </c>
      <c r="R95" s="22"/>
      <c r="S95" s="22">
        <f ca="1"/>
        <v>0</v>
      </c>
      <c r="T95" s="22"/>
      <c r="U95" s="22">
        <f ca="1"/>
        <v>0</v>
      </c>
      <c r="V95" s="22"/>
      <c r="W95" s="22">
        <f ca="1"/>
        <v>0</v>
      </c>
      <c r="X95" s="22"/>
      <c r="Y95" s="22">
        <f ca="1"/>
        <v>0</v>
      </c>
      <c r="Z95" s="22"/>
      <c r="AA95" s="22">
        <f ca="1"/>
        <v>0</v>
      </c>
      <c r="AB95" s="22"/>
      <c r="AC95" s="22">
        <f ca="1"/>
        <v>0</v>
      </c>
      <c r="AD95" s="22"/>
      <c r="AE95" s="22">
        <f ca="1"/>
        <v>0</v>
      </c>
      <c r="AF95" s="22"/>
      <c r="AG95" s="22">
        <f ca="1"/>
        <v>0</v>
      </c>
      <c r="AH95" s="22"/>
      <c r="AI95" s="22">
        <f ca="1"/>
        <v>0</v>
      </c>
      <c r="AJ95" s="22"/>
      <c r="AK95" s="22">
        <f ca="1"/>
        <v>0</v>
      </c>
      <c r="AL95" s="22"/>
      <c r="AM95" s="22">
        <f ca="1"/>
        <v>0</v>
      </c>
      <c r="AN95" s="22"/>
      <c r="AO95" s="22">
        <f ca="1"/>
        <v>0</v>
      </c>
    </row>
  </sheetData>
  <conditionalFormatting sqref="A3:AR47 A51:AO96">
    <cfRule type="cellIs" dxfId="0" priority="1" operator="equal">
      <formula>0</formula>
    </cfRule>
  </conditionalFormatting>
  <pageMargins left="0.70866141732283472" right="0.70866141732283472" top="0.35433070866141736" bottom="0.35433070866141736" header="0.11811023622047245" footer="0.11811023622047245"/>
  <pageSetup paperSize="9" scale="39" fitToWidth="4" orientation="landscape" horizont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44FC3B-71E4-4ECC-8EF8-1AF3C15177DA}">
  <dimension ref="A1:D47"/>
  <sheetViews>
    <sheetView workbookViewId="0">
      <selection activeCell="L21" sqref="L21"/>
    </sheetView>
  </sheetViews>
  <sheetFormatPr defaultRowHeight="15" x14ac:dyDescent="0.25"/>
  <cols>
    <col min="1" max="1" width="20.85546875" customWidth="1"/>
    <col min="2" max="2" width="6.140625" customWidth="1"/>
    <col min="3" max="3" width="7.5703125" customWidth="1"/>
    <col min="4" max="4" width="27.5703125" customWidth="1"/>
  </cols>
  <sheetData>
    <row r="1" spans="1:4" x14ac:dyDescent="0.25">
      <c r="A1">
        <v>1</v>
      </c>
      <c r="D1">
        <v>2</v>
      </c>
    </row>
    <row r="3" spans="1:4" x14ac:dyDescent="0.25">
      <c r="A3" t="str" cm="1">
        <f t="array" aca="1" ref="A3:A47" ca="1">TRANSPOSE(Lijstjemaken(A1))</f>
        <v>Bieb</v>
      </c>
      <c r="D3" t="str" cm="1">
        <f t="array" aca="1" ref="D3:D47" ca="1">TRANSPOSE(Lijstjemaken(D1))</f>
        <v>Assumburg</v>
      </c>
    </row>
    <row r="4" spans="1:4" x14ac:dyDescent="0.25">
      <c r="A4" t="str">
        <f ca="1"/>
        <v>De Brand (herberg)</v>
      </c>
      <c r="D4" t="str">
        <f ca="1"/>
        <v>Borghs</v>
      </c>
    </row>
    <row r="5" spans="1:4" x14ac:dyDescent="0.25">
      <c r="A5" t="str">
        <f ca="1"/>
        <v>Liessel</v>
      </c>
      <c r="D5" t="str">
        <f ca="1"/>
        <v>Borstbeeld Asselbergs (BA)</v>
      </c>
    </row>
    <row r="6" spans="1:4" x14ac:dyDescent="0.25">
      <c r="A6" t="str">
        <f ca="1"/>
        <v>Nuenen</v>
      </c>
      <c r="D6" t="str">
        <f ca="1"/>
        <v>Bouvigne</v>
      </c>
    </row>
    <row r="7" spans="1:4" x14ac:dyDescent="0.25">
      <c r="A7" t="str">
        <f ca="1"/>
        <v>Paaspop</v>
      </c>
      <c r="D7" t="str">
        <f ca="1"/>
        <v>Chassé</v>
      </c>
    </row>
    <row r="8" spans="1:4" x14ac:dyDescent="0.25">
      <c r="A8" t="str">
        <f ca="1"/>
        <v>Pand P</v>
      </c>
      <c r="D8" t="str">
        <f ca="1"/>
        <v>De Blauwe Camer</v>
      </c>
    </row>
    <row r="9" spans="1:4" x14ac:dyDescent="0.25">
      <c r="A9" t="str">
        <f ca="1"/>
        <v>Paperclip</v>
      </c>
      <c r="D9" t="str">
        <f ca="1"/>
        <v>De Koepel</v>
      </c>
    </row>
    <row r="10" spans="1:4" x14ac:dyDescent="0.25">
      <c r="A10" t="str">
        <f ca="1"/>
        <v>Sint Anthonis</v>
      </c>
      <c r="D10" t="str">
        <f ca="1"/>
        <v>De Korenbloem</v>
      </c>
    </row>
    <row r="11" spans="1:4" x14ac:dyDescent="0.25">
      <c r="A11" t="str">
        <f ca="1"/>
        <v>Sint Joris</v>
      </c>
      <c r="D11" t="str">
        <f ca="1"/>
        <v>De Laat</v>
      </c>
    </row>
    <row r="12" spans="1:4" x14ac:dyDescent="0.25">
      <c r="A12" t="str">
        <f ca="1"/>
        <v>Sint Juttemis</v>
      </c>
      <c r="D12" t="str">
        <f ca="1"/>
        <v>De 2 Gebroeders</v>
      </c>
    </row>
    <row r="13" spans="1:4" x14ac:dyDescent="0.25">
      <c r="A13" t="str">
        <f ca="1"/>
        <v>Snuifscheppers (SFS)</v>
      </c>
      <c r="D13" t="str">
        <f ca="1"/>
        <v>De Zwaan 1623</v>
      </c>
    </row>
    <row r="14" spans="1:4" x14ac:dyDescent="0.25">
      <c r="A14" t="str">
        <f ca="1"/>
        <v>Strontrapers</v>
      </c>
      <c r="D14" t="str">
        <f ca="1"/>
        <v>Drakenfontein</v>
      </c>
    </row>
    <row r="15" spans="1:4" x14ac:dyDescent="0.25">
      <c r="A15" t="str">
        <f ca="1"/>
        <v>Wouw</v>
      </c>
      <c r="D15" t="str">
        <f ca="1"/>
        <v>Evoluon</v>
      </c>
    </row>
    <row r="16" spans="1:4" x14ac:dyDescent="0.25">
      <c r="A16">
        <f ca="1"/>
        <v>0</v>
      </c>
      <c r="D16" t="str">
        <f ca="1"/>
        <v>Frits Philips</v>
      </c>
    </row>
    <row r="17" spans="1:4" x14ac:dyDescent="0.25">
      <c r="A17">
        <f ca="1"/>
        <v>0</v>
      </c>
      <c r="D17" t="str">
        <f ca="1"/>
        <v>Heeswijk</v>
      </c>
    </row>
    <row r="18" spans="1:4" x14ac:dyDescent="0.25">
      <c r="A18">
        <f ca="1"/>
        <v>0</v>
      </c>
      <c r="D18" t="str">
        <f ca="1"/>
        <v>Helmond</v>
      </c>
    </row>
    <row r="19" spans="1:4" x14ac:dyDescent="0.25">
      <c r="A19">
        <f ca="1"/>
        <v>0</v>
      </c>
      <c r="D19" t="str">
        <f ca="1"/>
        <v>Kruikezeiker</v>
      </c>
    </row>
    <row r="20" spans="1:4" x14ac:dyDescent="0.25">
      <c r="A20">
        <f ca="1"/>
        <v>0</v>
      </c>
      <c r="D20" t="str">
        <f ca="1"/>
        <v>KVL</v>
      </c>
    </row>
    <row r="21" spans="1:4" x14ac:dyDescent="0.25">
      <c r="A21">
        <f ca="1"/>
        <v>0</v>
      </c>
      <c r="D21" t="str">
        <f ca="1"/>
        <v>Lunetten</v>
      </c>
    </row>
    <row r="22" spans="1:4" x14ac:dyDescent="0.25">
      <c r="A22">
        <f ca="1"/>
        <v>0</v>
      </c>
      <c r="D22" t="str">
        <f ca="1"/>
        <v>Lunetten</v>
      </c>
    </row>
    <row r="23" spans="1:4" x14ac:dyDescent="0.25">
      <c r="A23">
        <f ca="1"/>
        <v>0</v>
      </c>
      <c r="D23" t="str">
        <f ca="1"/>
        <v>Maurick</v>
      </c>
    </row>
    <row r="24" spans="1:4" x14ac:dyDescent="0.25">
      <c r="A24">
        <f ca="1"/>
        <v>0</v>
      </c>
      <c r="D24" t="str">
        <f ca="1"/>
        <v>Nemerlaer</v>
      </c>
    </row>
    <row r="25" spans="1:4" x14ac:dyDescent="0.25">
      <c r="A25">
        <f ca="1"/>
        <v>0</v>
      </c>
      <c r="D25" t="str">
        <f ca="1"/>
        <v>Sint Jan</v>
      </c>
    </row>
    <row r="26" spans="1:4" x14ac:dyDescent="0.25">
      <c r="A26">
        <f ca="1"/>
        <v>0</v>
      </c>
      <c r="D26" t="str">
        <f ca="1"/>
        <v>Sint Joris</v>
      </c>
    </row>
    <row r="27" spans="1:4" x14ac:dyDescent="0.25">
      <c r="A27">
        <f ca="1"/>
        <v>0</v>
      </c>
      <c r="D27" t="str">
        <f ca="1"/>
        <v>Sint Juttemis</v>
      </c>
    </row>
    <row r="28" spans="1:4" x14ac:dyDescent="0.25">
      <c r="A28">
        <f ca="1"/>
        <v>0</v>
      </c>
      <c r="D28" t="str">
        <f ca="1"/>
        <v>Van Roessel</v>
      </c>
    </row>
    <row r="29" spans="1:4" x14ac:dyDescent="0.25">
      <c r="A29">
        <f ca="1"/>
        <v>0</v>
      </c>
      <c r="D29" t="str">
        <f ca="1"/>
        <v>Wim van Est</v>
      </c>
    </row>
    <row r="30" spans="1:4" x14ac:dyDescent="0.25">
      <c r="A30">
        <f ca="1"/>
        <v>0</v>
      </c>
      <c r="D30" t="str">
        <f ca="1"/>
        <v>Witte Dame</v>
      </c>
    </row>
    <row r="31" spans="1:4" x14ac:dyDescent="0.25">
      <c r="A31">
        <f ca="1"/>
        <v>0</v>
      </c>
      <c r="D31" t="str">
        <f ca="1"/>
        <v>Zittend Meisje</v>
      </c>
    </row>
    <row r="32" spans="1:4" x14ac:dyDescent="0.25">
      <c r="A32">
        <f ca="1"/>
        <v>0</v>
      </c>
      <c r="D32">
        <f ca="1"/>
        <v>0</v>
      </c>
    </row>
    <row r="33" spans="1:4" x14ac:dyDescent="0.25">
      <c r="A33">
        <f ca="1"/>
        <v>0</v>
      </c>
      <c r="D33">
        <f ca="1"/>
        <v>0</v>
      </c>
    </row>
    <row r="34" spans="1:4" x14ac:dyDescent="0.25">
      <c r="A34">
        <f ca="1"/>
        <v>0</v>
      </c>
      <c r="D34">
        <f ca="1"/>
        <v>0</v>
      </c>
    </row>
    <row r="35" spans="1:4" x14ac:dyDescent="0.25">
      <c r="A35">
        <f ca="1"/>
        <v>0</v>
      </c>
      <c r="D35">
        <f ca="1"/>
        <v>0</v>
      </c>
    </row>
    <row r="36" spans="1:4" x14ac:dyDescent="0.25">
      <c r="A36">
        <f ca="1"/>
        <v>0</v>
      </c>
      <c r="D36">
        <f ca="1"/>
        <v>0</v>
      </c>
    </row>
    <row r="37" spans="1:4" x14ac:dyDescent="0.25">
      <c r="A37">
        <f ca="1"/>
        <v>0</v>
      </c>
      <c r="D37">
        <f ca="1"/>
        <v>0</v>
      </c>
    </row>
    <row r="38" spans="1:4" x14ac:dyDescent="0.25">
      <c r="A38">
        <f ca="1"/>
        <v>0</v>
      </c>
      <c r="D38">
        <f ca="1"/>
        <v>0</v>
      </c>
    </row>
    <row r="39" spans="1:4" x14ac:dyDescent="0.25">
      <c r="A39">
        <f ca="1"/>
        <v>0</v>
      </c>
      <c r="D39">
        <f ca="1"/>
        <v>0</v>
      </c>
    </row>
    <row r="40" spans="1:4" x14ac:dyDescent="0.25">
      <c r="A40">
        <f ca="1"/>
        <v>0</v>
      </c>
      <c r="D40">
        <f ca="1"/>
        <v>0</v>
      </c>
    </row>
    <row r="41" spans="1:4" x14ac:dyDescent="0.25">
      <c r="A41">
        <f ca="1"/>
        <v>0</v>
      </c>
      <c r="D41">
        <f ca="1"/>
        <v>0</v>
      </c>
    </row>
    <row r="42" spans="1:4" x14ac:dyDescent="0.25">
      <c r="A42">
        <f ca="1"/>
        <v>0</v>
      </c>
      <c r="D42">
        <f ca="1"/>
        <v>0</v>
      </c>
    </row>
    <row r="43" spans="1:4" x14ac:dyDescent="0.25">
      <c r="A43">
        <f ca="1"/>
        <v>0</v>
      </c>
      <c r="D43">
        <f ca="1"/>
        <v>0</v>
      </c>
    </row>
    <row r="44" spans="1:4" x14ac:dyDescent="0.25">
      <c r="A44">
        <f ca="1"/>
        <v>0</v>
      </c>
      <c r="D44">
        <f ca="1"/>
        <v>0</v>
      </c>
    </row>
    <row r="45" spans="1:4" x14ac:dyDescent="0.25">
      <c r="A45">
        <f ca="1"/>
        <v>0</v>
      </c>
      <c r="D45">
        <f ca="1"/>
        <v>0</v>
      </c>
    </row>
    <row r="46" spans="1:4" x14ac:dyDescent="0.25">
      <c r="A46">
        <f ca="1"/>
        <v>0</v>
      </c>
      <c r="D46">
        <f ca="1"/>
        <v>0</v>
      </c>
    </row>
    <row r="47" spans="1:4" x14ac:dyDescent="0.25">
      <c r="A47">
        <f ca="1"/>
        <v>0</v>
      </c>
      <c r="D47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DA207-E547-457D-A269-04C4F7B02444}">
  <sheetPr codeName="Blad7"/>
  <dimension ref="A2:C10"/>
  <sheetViews>
    <sheetView workbookViewId="0">
      <selection activeCell="D17" sqref="D17"/>
    </sheetView>
  </sheetViews>
  <sheetFormatPr defaultRowHeight="15" x14ac:dyDescent="0.25"/>
  <cols>
    <col min="1" max="1" width="35.140625" customWidth="1"/>
    <col min="2" max="2" width="4.42578125" customWidth="1"/>
    <col min="3" max="3" width="39" customWidth="1"/>
  </cols>
  <sheetData>
    <row r="2" spans="1:3" x14ac:dyDescent="0.25">
      <c r="A2">
        <v>7</v>
      </c>
      <c r="C2">
        <v>40</v>
      </c>
    </row>
    <row r="4" spans="1:3" x14ac:dyDescent="0.25">
      <c r="A4" t="str" cm="1">
        <f t="array" ref="A4">INDEX(Antwoorden!$M$2:$T$133,'Per antwoord'!A2,1)</f>
        <v>Getal/Cijfer</v>
      </c>
      <c r="C4" t="str" cm="1">
        <f t="array" ref="C4">INDEX(Antwoorden!$M$2:$T$133,'Per antwoord'!C2,1)</f>
        <v>076 (Breda)</v>
      </c>
    </row>
    <row r="5" spans="1:3" x14ac:dyDescent="0.25">
      <c r="A5" t="str" cm="1">
        <f t="array" ref="A5">INDEX(Antwoorden!$M$2:$T$133,'Per antwoord'!A2,2)</f>
        <v>s Hertogenbosch (DB)</v>
      </c>
      <c r="C5" t="str" cm="1">
        <f t="array" ref="C5">INDEX(Antwoorden!$M$2:$T$133,'Per antwoord'!C2,2)</f>
        <v>West Brabant</v>
      </c>
    </row>
    <row r="6" spans="1:3" x14ac:dyDescent="0.25">
      <c r="A6" t="str" cm="1">
        <f t="array" ref="A6">INDEX(Antwoorden!$M$2:$T$133,'Per antwoord'!A2,3)</f>
        <v>040 (Eindhoven)</v>
      </c>
      <c r="C6" t="str" cm="1">
        <f t="array" ref="C6">INDEX(Antwoorden!$M$2:$T$133,'Per antwoord'!C2,3)</f>
        <v>Natuur</v>
      </c>
    </row>
    <row r="7" spans="1:3" x14ac:dyDescent="0.25">
      <c r="A7" t="str" cm="1">
        <f t="array" ref="A7">INDEX(Antwoorden!$M$2:$T$133,'Per antwoord'!A2,4)</f>
        <v>Vught</v>
      </c>
      <c r="C7" t="str" cm="1">
        <f t="array" ref="C7">INDEX(Antwoorden!$M$2:$T$133,'Per antwoord'!C2,4)</f>
        <v>Typisch Brabants (TB)</v>
      </c>
    </row>
    <row r="8" spans="1:3" x14ac:dyDescent="0.25">
      <c r="A8" t="str" cm="1">
        <f t="array" ref="A8">INDEX(Antwoorden!$M$2:$T$133,'Per antwoord'!A2,5)</f>
        <v/>
      </c>
      <c r="C8" t="str" cm="1">
        <f t="array" ref="C8">INDEX(Antwoorden!$M$2:$T$133,'Per antwoord'!C2,5)</f>
        <v>Kleurrijk</v>
      </c>
    </row>
    <row r="9" spans="1:3" x14ac:dyDescent="0.25">
      <c r="A9" t="str" cm="1">
        <f t="array" ref="A9">INDEX(Antwoorden!$M$2:$T$133,'Per antwoord'!A2,6)</f>
        <v/>
      </c>
      <c r="C9" t="str" cm="1">
        <f t="array" ref="C9">INDEX(Antwoorden!$M$2:$T$133,'Per antwoord'!C2,6)</f>
        <v/>
      </c>
    </row>
    <row r="10" spans="1:3" x14ac:dyDescent="0.25">
      <c r="A10" t="str" cm="1">
        <f t="array" ref="A10">INDEX(Antwoorden!$M$2:$T$133,'Per antwoord'!A2,7)</f>
        <v/>
      </c>
      <c r="C10" t="str" cm="1">
        <f t="array" ref="C10">INDEX(Antwoorden!$M$2:$T$133,'Per antwoord'!C2,7)</f>
        <v/>
      </c>
    </row>
  </sheetData>
  <sortState xmlns:xlrd2="http://schemas.microsoft.com/office/spreadsheetml/2017/richdata2" ref="A1:B132">
    <sortCondition ref="B1:B13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Drop Down 2">
              <controlPr defaultSize="0" autoLine="0" autoPict="0">
                <anchor moveWithCells="1">
                  <from>
                    <xdr:col>0</xdr:col>
                    <xdr:colOff>9525</xdr:colOff>
                    <xdr:row>0</xdr:row>
                    <xdr:rowOff>152400</xdr:rowOff>
                  </from>
                  <to>
                    <xdr:col>1</xdr:col>
                    <xdr:colOff>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4" name="Drop Down 5">
              <controlPr defaultSize="0" autoLine="0" autoPict="0">
                <anchor moveWithCells="1">
                  <from>
                    <xdr:col>2</xdr:col>
                    <xdr:colOff>9525</xdr:colOff>
                    <xdr:row>0</xdr:row>
                    <xdr:rowOff>152400</xdr:rowOff>
                  </from>
                  <to>
                    <xdr:col>2</xdr:col>
                    <xdr:colOff>2581275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50A04E-3C88-4B0A-9219-1EE6E2AC1909}">
  <sheetPr codeName="Blad4"/>
  <dimension ref="A1"/>
  <sheetViews>
    <sheetView workbookViewId="0">
      <selection activeCell="T20" sqref="T20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</vt:i4>
      </vt:variant>
    </vt:vector>
  </HeadingPairs>
  <TitlesOfParts>
    <vt:vector size="9" baseType="lpstr">
      <vt:lpstr>Antwoorden KOPIE</vt:lpstr>
      <vt:lpstr>Puzzel</vt:lpstr>
      <vt:lpstr>categorieen</vt:lpstr>
      <vt:lpstr>Antwoorden</vt:lpstr>
      <vt:lpstr>Per categorie</vt:lpstr>
      <vt:lpstr>Blad1</vt:lpstr>
      <vt:lpstr>Per antwoord</vt:lpstr>
      <vt:lpstr>Blad2</vt:lpstr>
      <vt:lpstr>Puzzel!Afdrukbereik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BasZelluf</dc:creator>
  <cp:lastModifiedBy>BasZelluf</cp:lastModifiedBy>
  <cp:lastPrinted>2020-12-28T19:47:24Z</cp:lastPrinted>
  <dcterms:created xsi:type="dcterms:W3CDTF">2020-12-25T16:21:58Z</dcterms:created>
  <dcterms:modified xsi:type="dcterms:W3CDTF">2021-01-01T11:19:08Z</dcterms:modified>
</cp:coreProperties>
</file>