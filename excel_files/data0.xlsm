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media/image2.wmf" ContentType="image/x-wmf"/>
  <Override PartName="/xl/vbaProject.bin" ContentType="application/vnd.ms-office.vbaProject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Antwoorden KOPIE" sheetId="1" state="visible" r:id="rId3"/>
    <sheet name="Puzzel" sheetId="2" state="visible" r:id="rId4"/>
    <sheet name="categorieen" sheetId="3" state="visible" r:id="rId5"/>
    <sheet name="Antwoorden" sheetId="4" state="visible" r:id="rId6"/>
    <sheet name="Blad3" sheetId="5" state="visible" r:id="rId7"/>
    <sheet name="Blad1" sheetId="6" state="visible" r:id="rId8"/>
    <sheet name="Blad2" sheetId="7" state="hidden" r:id="rId9"/>
  </sheets>
  <definedNames>
    <definedName function="false" hidden="false" localSheetId="1" name="_xlnm.Print_Area" vbProcedure="false">Puzzel!$J$6:$AH$83</definedName>
    <definedName function="true" hidden="false" name="LIJSTJEMAKEN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<sst xmlns="http://schemas.openxmlformats.org/spreadsheetml/2006/main" count="578" uniqueCount="304">
  <si>
    <t xml:space="preserve">Antwoorden</t>
  </si>
  <si>
    <t xml:space="preserve">Cat 1</t>
  </si>
  <si>
    <t xml:space="preserve">Cat 2</t>
  </si>
  <si>
    <t xml:space="preserve">Cat 3</t>
  </si>
  <si>
    <t xml:space="preserve">Cat 4</t>
  </si>
  <si>
    <t xml:space="preserve">Cat5</t>
  </si>
  <si>
    <t xml:space="preserve">Cat6</t>
  </si>
  <si>
    <t xml:space="preserve">Cat7</t>
  </si>
  <si>
    <t xml:space="preserve">Cat 8</t>
  </si>
  <si>
    <t xml:space="preserve">(aan de) Parade</t>
  </si>
  <si>
    <t xml:space="preserve">Theater in Den Bosch</t>
  </si>
  <si>
    <t xml:space="preserve">Aarle Rixtel</t>
  </si>
  <si>
    <t xml:space="preserve">Plaats in Brabant (Peel)</t>
  </si>
  <si>
    <t xml:space="preserve">18 September</t>
  </si>
  <si>
    <t xml:space="preserve">bevrijding eindhoven</t>
  </si>
  <si>
    <t xml:space="preserve">Anton Philips @</t>
  </si>
  <si>
    <t xml:space="preserve">Arendsnest</t>
  </si>
  <si>
    <t xml:space="preserve">restaurant oosterhout</t>
  </si>
  <si>
    <t xml:space="preserve">Assumburg</t>
  </si>
  <si>
    <t xml:space="preserve">Molen</t>
  </si>
  <si>
    <t xml:space="preserve">A2</t>
  </si>
  <si>
    <t xml:space="preserve">Snelweg</t>
  </si>
  <si>
    <t xml:space="preserve">Balkenbrij</t>
  </si>
  <si>
    <t xml:space="preserve">lekkernij</t>
  </si>
  <si>
    <t xml:space="preserve">Baol</t>
  </si>
  <si>
    <t xml:space="preserve">= Baarne Nassau</t>
  </si>
  <si>
    <t xml:space="preserve">Bartels @</t>
  </si>
  <si>
    <t xml:space="preserve">AL INGEVULD</t>
  </si>
  <si>
    <t xml:space="preserve">Beekse Bergen</t>
  </si>
  <si>
    <t xml:space="preserve">Beerze</t>
  </si>
  <si>
    <t xml:space="preserve">Bekant</t>
  </si>
  <si>
    <t xml:space="preserve">Bergen op Zoom</t>
  </si>
  <si>
    <t xml:space="preserve">Bergsche Maas</t>
  </si>
  <si>
    <t xml:space="preserve">Bieb</t>
  </si>
  <si>
    <t xml:space="preserve">Bierbrouwerij de Roos (BdR)</t>
  </si>
  <si>
    <t xml:space="preserve">Biesbosch</t>
  </si>
  <si>
    <t xml:space="preserve">Biestse Boulers</t>
  </si>
  <si>
    <t xml:space="preserve">jeu de boulesvereniging</t>
  </si>
  <si>
    <t xml:space="preserve">Binnen Dieze</t>
  </si>
  <si>
    <t xml:space="preserve">Borghs</t>
  </si>
  <si>
    <t xml:space="preserve">Borstbeeld Asselbergs (BA)</t>
  </si>
  <si>
    <t xml:space="preserve">Bossche Broek</t>
  </si>
  <si>
    <t xml:space="preserve">Wandelroute Den Bosch</t>
  </si>
  <si>
    <t xml:space="preserve">Bouvigne</t>
  </si>
  <si>
    <t xml:space="preserve">Kasteel</t>
  </si>
  <si>
    <t xml:space="preserve">Bram Braam</t>
  </si>
  <si>
    <t xml:space="preserve">Voetballer Willem II</t>
  </si>
  <si>
    <t xml:space="preserve">Broekhoven</t>
  </si>
  <si>
    <t xml:space="preserve">Bud Brocken</t>
  </si>
  <si>
    <t xml:space="preserve">Cartierheide</t>
  </si>
  <si>
    <t xml:space="preserve">Chassé</t>
  </si>
  <si>
    <t xml:space="preserve">Theater in Breda</t>
  </si>
  <si>
    <t xml:space="preserve">De Blauwe Camer</t>
  </si>
  <si>
    <t xml:space="preserve">De Brand (herberg)</t>
  </si>
  <si>
    <t xml:space="preserve">De 3 van</t>
  </si>
  <si>
    <t xml:space="preserve">De Eeendracht</t>
  </si>
  <si>
    <t xml:space="preserve">De Heuvel</t>
  </si>
  <si>
    <t xml:space="preserve">De Koepel</t>
  </si>
  <si>
    <t xml:space="preserve">Gevangenis in Breda</t>
  </si>
  <si>
    <t xml:space="preserve">De Korenbloem</t>
  </si>
  <si>
    <t xml:space="preserve">De Laat</t>
  </si>
  <si>
    <t xml:space="preserve">De Leest</t>
  </si>
  <si>
    <t xml:space="preserve">Theater / Windmolen</t>
  </si>
  <si>
    <t xml:space="preserve">De Lind</t>
  </si>
  <si>
    <t xml:space="preserve">Kiosk, 6 letters</t>
  </si>
  <si>
    <t xml:space="preserve">De Paarse Heide</t>
  </si>
  <si>
    <t xml:space="preserve">De Pelikaan</t>
  </si>
  <si>
    <t xml:space="preserve">De 2 Gebroeders</t>
  </si>
  <si>
    <t xml:space="preserve">De Twee Pinten</t>
  </si>
  <si>
    <t xml:space="preserve">Carnavalsduo</t>
  </si>
  <si>
    <t xml:space="preserve">De Vrijthof</t>
  </si>
  <si>
    <t xml:space="preserve">De Zotte Mulders</t>
  </si>
  <si>
    <t xml:space="preserve">De Zwaan 1623</t>
  </si>
  <si>
    <t xml:space="preserve">Diessen</t>
  </si>
  <si>
    <t xml:space="preserve">Donders</t>
  </si>
  <si>
    <t xml:space="preserve">Drakenfontein</t>
  </si>
  <si>
    <t xml:space="preserve">Den Bosch</t>
  </si>
  <si>
    <t xml:space="preserve">Duizel</t>
  </si>
  <si>
    <t xml:space="preserve">Eersel</t>
  </si>
  <si>
    <t xml:space="preserve">Elastiek</t>
  </si>
  <si>
    <t xml:space="preserve">Evoluon</t>
  </si>
  <si>
    <t xml:space="preserve">Frits Spits</t>
  </si>
  <si>
    <t xml:space="preserve">Radio DJ </t>
  </si>
  <si>
    <t xml:space="preserve">Frits Philips</t>
  </si>
  <si>
    <t xml:space="preserve">Glow</t>
  </si>
  <si>
    <t xml:space="preserve">Gorp en Roovert</t>
  </si>
  <si>
    <t xml:space="preserve">Halve Zolen</t>
  </si>
  <si>
    <t xml:space="preserve">Heeswijk</t>
  </si>
  <si>
    <t xml:space="preserve">Heimolen</t>
  </si>
  <si>
    <t xml:space="preserve">Helmond</t>
  </si>
  <si>
    <t xml:space="preserve">Houdoe</t>
  </si>
  <si>
    <t xml:space="preserve">Hulsel</t>
  </si>
  <si>
    <t xml:space="preserve">Ihattaren</t>
  </si>
  <si>
    <t xml:space="preserve">Voetbaler van PSV</t>
  </si>
  <si>
    <t xml:space="preserve">Ijzeren man</t>
  </si>
  <si>
    <t xml:space="preserve">Intents</t>
  </si>
  <si>
    <t xml:space="preserve">In 't Groene Woud (GW)</t>
  </si>
  <si>
    <t xml:space="preserve">restaurant </t>
  </si>
  <si>
    <t xml:space="preserve">Joris Mathijsen (JM)</t>
  </si>
  <si>
    <t xml:space="preserve">Voetballer, begonnen bij Willem II, thans Trainer van Willem II</t>
  </si>
  <si>
    <t xml:space="preserve">Kampina</t>
  </si>
  <si>
    <t xml:space="preserve">Knegsel</t>
  </si>
  <si>
    <t xml:space="preserve">Kruikezeiker</t>
  </si>
  <si>
    <t xml:space="preserve">Carnavalsbijnaam van een Tilburger</t>
  </si>
  <si>
    <t xml:space="preserve">KVL</t>
  </si>
  <si>
    <t xml:space="preserve">Lampegat</t>
  </si>
  <si>
    <t xml:space="preserve">Carnavalsbijnaam van Eindhoven</t>
  </si>
  <si>
    <t xml:space="preserve">Lieve Lente</t>
  </si>
  <si>
    <t xml:space="preserve">Lies</t>
  </si>
  <si>
    <t xml:space="preserve">Liessel</t>
  </si>
  <si>
    <t xml:space="preserve">Lunetten</t>
  </si>
  <si>
    <t xml:space="preserve">Maurick</t>
  </si>
  <si>
    <t xml:space="preserve">Michael van Gerwen</t>
  </si>
  <si>
    <t xml:space="preserve">Moerputten</t>
  </si>
  <si>
    <t xml:space="preserve">NAC</t>
  </si>
  <si>
    <t xml:space="preserve">Nemerlaer</t>
  </si>
  <si>
    <t xml:space="preserve">Nieuw Vossemeer</t>
  </si>
  <si>
    <t xml:space="preserve">Noenes</t>
  </si>
  <si>
    <t xml:space="preserve">Nooit Gedacht</t>
  </si>
  <si>
    <t xml:space="preserve">Noordhoek</t>
  </si>
  <si>
    <t xml:space="preserve">Nuenen</t>
  </si>
  <si>
    <t xml:space="preserve">Oosterplas</t>
  </si>
  <si>
    <t xml:space="preserve">Oss</t>
  </si>
  <si>
    <t xml:space="preserve">Paaspop</t>
  </si>
  <si>
    <t xml:space="preserve">Pand P</t>
  </si>
  <si>
    <t xml:space="preserve">Paperclip</t>
  </si>
  <si>
    <t xml:space="preserve">Papgat</t>
  </si>
  <si>
    <t xml:space="preserve">Papzakken</t>
  </si>
  <si>
    <t xml:space="preserve">Petrus en Paulus (PP)</t>
  </si>
  <si>
    <t xml:space="preserve">Piet de Visser</t>
  </si>
  <si>
    <t xml:space="preserve">(plein) 1969</t>
  </si>
  <si>
    <t xml:space="preserve">Ploegersland</t>
  </si>
  <si>
    <t xml:space="preserve">Ria Valk</t>
  </si>
  <si>
    <t xml:space="preserve">Zangeres. Grote bekendheid met carnavalsnummers</t>
  </si>
  <si>
    <t xml:space="preserve">Ripasso</t>
  </si>
  <si>
    <t xml:space="preserve">Roel van Hemert</t>
  </si>
  <si>
    <t xml:space="preserve">Rooi</t>
  </si>
  <si>
    <t xml:space="preserve">Roze Maandag</t>
  </si>
  <si>
    <t xml:space="preserve">Schrobbelèr</t>
  </si>
  <si>
    <t xml:space="preserve">Simon Tahamata</t>
  </si>
  <si>
    <t xml:space="preserve">Voetballer </t>
  </si>
  <si>
    <t xml:space="preserve">Sint Agatha</t>
  </si>
  <si>
    <t xml:space="preserve">Sint Anthonis</t>
  </si>
  <si>
    <t xml:space="preserve">Sint Jan</t>
  </si>
  <si>
    <t xml:space="preserve">Sint Joris</t>
  </si>
  <si>
    <t xml:space="preserve">Sint Juttemis</t>
  </si>
  <si>
    <t xml:space="preserve">Snuifscheppers (SFS)</t>
  </si>
  <si>
    <t xml:space="preserve">Stinsel</t>
  </si>
  <si>
    <t xml:space="preserve">Strontrapers</t>
  </si>
  <si>
    <t xml:space="preserve">St. Willebrord</t>
  </si>
  <si>
    <t xml:space="preserve">t Blauwe Meer</t>
  </si>
  <si>
    <t xml:space="preserve">t Kruiken(plein)</t>
  </si>
  <si>
    <t xml:space="preserve">t Zand</t>
  </si>
  <si>
    <t xml:space="preserve">Van Geel</t>
  </si>
  <si>
    <t xml:space="preserve">Van Roessel</t>
  </si>
  <si>
    <t xml:space="preserve">Venkraai</t>
  </si>
  <si>
    <t xml:space="preserve">Vestzak</t>
  </si>
  <si>
    <t xml:space="preserve">Vijfhuizen</t>
  </si>
  <si>
    <t xml:space="preserve">Westpoint</t>
  </si>
  <si>
    <t xml:space="preserve">Wilhelminapark (WP)</t>
  </si>
  <si>
    <t xml:space="preserve">Wim van Est</t>
  </si>
  <si>
    <t xml:space="preserve">Winkel</t>
  </si>
  <si>
    <t xml:space="preserve">Wintelre</t>
  </si>
  <si>
    <t xml:space="preserve">Witte Dame</t>
  </si>
  <si>
    <t xml:space="preserve">Worstenbroodje (WB)</t>
  </si>
  <si>
    <t xml:space="preserve">Wouw</t>
  </si>
  <si>
    <t xml:space="preserve">Kutdorp</t>
  </si>
  <si>
    <t xml:space="preserve">7ende Hemel</t>
  </si>
  <si>
    <t xml:space="preserve">Zittend Meisje</t>
  </si>
  <si>
    <t xml:space="preserve">Catnr</t>
  </si>
  <si>
    <t xml:space="preserve">Omschrijving</t>
  </si>
  <si>
    <t xml:space="preserve">Aantal</t>
  </si>
  <si>
    <t xml:space="preserve">Eerste- en Eindletter hetzelfde</t>
  </si>
  <si>
    <t xml:space="preserve">(stand)beeld / (Rijks)monument</t>
  </si>
  <si>
    <t xml:space="preserve">040 (Eindhoven)</t>
  </si>
  <si>
    <t xml:space="preserve">Begint met een B</t>
  </si>
  <si>
    <t xml:space="preserve">076 (Breda)</t>
  </si>
  <si>
    <t xml:space="preserve">Zes letters</t>
  </si>
  <si>
    <t xml:space="preserve">1 van de 8</t>
  </si>
  <si>
    <t xml:space="preserve">Bekende Brabanders</t>
  </si>
  <si>
    <t xml:space="preserve">3 of 4 letters</t>
  </si>
  <si>
    <t xml:space="preserve">Met B en B</t>
  </si>
  <si>
    <t xml:space="preserve">3x dezelfde letter</t>
  </si>
  <si>
    <t xml:space="preserve">Alaaf</t>
  </si>
  <si>
    <t xml:space="preserve">7 letters</t>
  </si>
  <si>
    <t xml:space="preserve">040 (Eindhoven</t>
  </si>
  <si>
    <t xml:space="preserve">Kiosk</t>
  </si>
  <si>
    <t xml:space="preserve">Begint met een W</t>
  </si>
  <si>
    <t xml:space="preserve">Tilburg</t>
  </si>
  <si>
    <t xml:space="preserve">Begint met N</t>
  </si>
  <si>
    <t xml:space="preserve">Water</t>
  </si>
  <si>
    <t xml:space="preserve">Met dubbel T</t>
  </si>
  <si>
    <t xml:space="preserve">Buurtschap</t>
  </si>
  <si>
    <t xml:space="preserve">Dierlijk</t>
  </si>
  <si>
    <t xml:space="preserve">Getal/Cijfer</t>
  </si>
  <si>
    <t xml:space="preserve">Eindigt op el</t>
  </si>
  <si>
    <t xml:space="preserve">Met dubbel s</t>
  </si>
  <si>
    <t xml:space="preserve">Eten en Drinken (ED)</t>
  </si>
  <si>
    <t xml:space="preserve">Willem II</t>
  </si>
  <si>
    <t xml:space="preserve">Festival</t>
  </si>
  <si>
    <t xml:space="preserve">Natuur</t>
  </si>
  <si>
    <t xml:space="preserve">Heilige</t>
  </si>
  <si>
    <t xml:space="preserve">West Brabant</t>
  </si>
  <si>
    <t xml:space="preserve">Hilvarenbeek</t>
  </si>
  <si>
    <t xml:space="preserve">In de volksmond (IDV)</t>
  </si>
  <si>
    <t xml:space="preserve">Kleurrijk</t>
  </si>
  <si>
    <t xml:space="preserve">Met 4 Wieken</t>
  </si>
  <si>
    <t xml:space="preserve">Met ie</t>
  </si>
  <si>
    <t xml:space="preserve">Parel in het Groen (PITG)</t>
  </si>
  <si>
    <t xml:space="preserve">Plein</t>
  </si>
  <si>
    <t xml:space="preserve">s Hertogenbosch (DB)</t>
  </si>
  <si>
    <t xml:space="preserve">Sport</t>
  </si>
  <si>
    <t xml:space="preserve">Theater</t>
  </si>
  <si>
    <t xml:space="preserve">Typisch Brabants (TB)</t>
  </si>
  <si>
    <t xml:space="preserve">Vught</t>
  </si>
  <si>
    <t xml:space="preserve">Categorie 1</t>
  </si>
  <si>
    <t xml:space="preserve">Categorie 2</t>
  </si>
  <si>
    <t xml:space="preserve">Categorie 3</t>
  </si>
  <si>
    <t xml:space="preserve">Categorie 4</t>
  </si>
  <si>
    <t xml:space="preserve">Categorie 5</t>
  </si>
  <si>
    <t xml:space="preserve">Categorie 6</t>
  </si>
  <si>
    <t xml:space="preserve">Categorie 7</t>
  </si>
  <si>
    <t xml:space="preserve">Categorie 8</t>
  </si>
  <si>
    <t xml:space="preserve">Anton Philips</t>
  </si>
  <si>
    <t xml:space="preserve">Bartels</t>
  </si>
  <si>
    <t xml:space="preserve">Safaripark</t>
  </si>
  <si>
    <t xml:space="preserve">Water, bier</t>
  </si>
  <si>
    <t xml:space="preserve">uitdrukking</t>
  </si>
  <si>
    <t xml:space="preserve">Plaats in West brabant</t>
  </si>
  <si>
    <t xml:space="preserve">(nog een andere betekenis dan afkoring van bibliotheek?)</t>
  </si>
  <si>
    <t xml:space="preserve">Natuurgebied</t>
  </si>
  <si>
    <t xml:space="preserve">stromen binnen Den Bosch</t>
  </si>
  <si>
    <t xml:space="preserve">Hotel/Restaurant? Iets anders?</t>
  </si>
  <si>
    <t xml:space="preserve">Roy &amp; Ruud Donders (voetballer WII)</t>
  </si>
  <si>
    <t xml:space="preserve">PandP</t>
  </si>
  <si>
    <t xml:space="preserve">tZand</t>
  </si>
  <si>
    <t xml:space="preserve">De3van</t>
  </si>
  <si>
    <t xml:space="preserve">DeLaat</t>
  </si>
  <si>
    <t xml:space="preserve">DeLind</t>
  </si>
  <si>
    <t xml:space="preserve">DeLeest</t>
  </si>
  <si>
    <t xml:space="preserve">RiaValk</t>
  </si>
  <si>
    <t xml:space="preserve">SintJan</t>
  </si>
  <si>
    <t xml:space="preserve">VanGeel</t>
  </si>
  <si>
    <t xml:space="preserve">Bartels@</t>
  </si>
  <si>
    <t xml:space="preserve">DeHeuvel</t>
  </si>
  <si>
    <t xml:space="preserve">DeKoepel</t>
  </si>
  <si>
    <t xml:space="preserve">BramBraam</t>
  </si>
  <si>
    <t xml:space="preserve">SintJoris</t>
  </si>
  <si>
    <t xml:space="preserve">WimvanEst</t>
  </si>
  <si>
    <t xml:space="preserve">WitteDame</t>
  </si>
  <si>
    <t xml:space="preserve">Biesbosch@</t>
  </si>
  <si>
    <t xml:space="preserve">BudBrocken</t>
  </si>
  <si>
    <t xml:space="preserve">DePelikaan</t>
  </si>
  <si>
    <t xml:space="preserve">DeVrijthof</t>
  </si>
  <si>
    <t xml:space="preserve">FritsSpits</t>
  </si>
  <si>
    <t xml:space="preserve">HalveZolen</t>
  </si>
  <si>
    <t xml:space="preserve">Ijzerenman</t>
  </si>
  <si>
    <t xml:space="preserve">LieveLente</t>
  </si>
  <si>
    <t xml:space="preserve">SintAgatha</t>
  </si>
  <si>
    <t xml:space="preserve">VanRoessel</t>
  </si>
  <si>
    <t xml:space="preserve">7endeHemel</t>
  </si>
  <si>
    <t xml:space="preserve">AarleRixtel</t>
  </si>
  <si>
    <t xml:space="preserve">18September</t>
  </si>
  <si>
    <t xml:space="preserve">BinnenDieze</t>
  </si>
  <si>
    <t xml:space="preserve">DeZwaan1623</t>
  </si>
  <si>
    <t xml:space="preserve">(plein)1969</t>
  </si>
  <si>
    <t xml:space="preserve">RozeMaandag</t>
  </si>
  <si>
    <t xml:space="preserve">tBlauweMeer</t>
  </si>
  <si>
    <t xml:space="preserve">BeekseBergen</t>
  </si>
  <si>
    <t xml:space="preserve">BergenopZoom</t>
  </si>
  <si>
    <t xml:space="preserve">BosscheBroek</t>
  </si>
  <si>
    <t xml:space="preserve">DeEeendracht</t>
  </si>
  <si>
    <t xml:space="preserve">DeKorenbloem</t>
  </si>
  <si>
    <t xml:space="preserve">DeTweePinten</t>
  </si>
  <si>
    <t xml:space="preserve">FritsPhilips</t>
  </si>
  <si>
    <t xml:space="preserve">NooitGedacht</t>
  </si>
  <si>
    <t xml:space="preserve">PietdeVisser</t>
  </si>
  <si>
    <t xml:space="preserve">SintAnthonis</t>
  </si>
  <si>
    <t xml:space="preserve">SintJuttemis</t>
  </si>
  <si>
    <t xml:space="preserve">(aande)Parade</t>
  </si>
  <si>
    <t xml:space="preserve">AntonPhilips@</t>
  </si>
  <si>
    <t xml:space="preserve">BergscheMaas@</t>
  </si>
  <si>
    <t xml:space="preserve">DeBlauweCamer</t>
  </si>
  <si>
    <t xml:space="preserve">DePaarseHeide</t>
  </si>
  <si>
    <t xml:space="preserve">De2Gebroeders</t>
  </si>
  <si>
    <t xml:space="preserve">GorpenRoovert</t>
  </si>
  <si>
    <t xml:space="preserve">RoelvanHemert</t>
  </si>
  <si>
    <t xml:space="preserve">SimonTahamata</t>
  </si>
  <si>
    <t xml:space="preserve">St.Willebrord</t>
  </si>
  <si>
    <t xml:space="preserve">ZittendMeisje</t>
  </si>
  <si>
    <t xml:space="preserve">BiestseBoulers</t>
  </si>
  <si>
    <t xml:space="preserve">DeZotteMulders</t>
  </si>
  <si>
    <t xml:space="preserve">NieuwVossemeer</t>
  </si>
  <si>
    <t xml:space="preserve">tKruiken(plein)</t>
  </si>
  <si>
    <t xml:space="preserve">DeBrand(herberg)</t>
  </si>
  <si>
    <t xml:space="preserve">MichaelvanGerwen</t>
  </si>
  <si>
    <t xml:space="preserve">In'tGroeneWoud(GW)</t>
  </si>
  <si>
    <t xml:space="preserve">JorisMathijsen(JM)</t>
  </si>
  <si>
    <t xml:space="preserve">PetrusenPaulus(PP)</t>
  </si>
  <si>
    <t xml:space="preserve">Wilhelminapark(WP)</t>
  </si>
  <si>
    <t xml:space="preserve">Worstenbroodje(WB)</t>
  </si>
  <si>
    <t xml:space="preserve">Snuifscheppers(SFS)</t>
  </si>
  <si>
    <t xml:space="preserve">BierbrouwerijdeRoos(BdR)</t>
  </si>
  <si>
    <t xml:space="preserve">BorstbeeldAsselbergs(BA)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</si>
</sst>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\-MMM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sz val="44"/>
      <color rgb="FFFF0000"/>
      <name val="Times New Roman"/>
      <family val="0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wmf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20</xdr:col>
      <xdr:colOff>381960</xdr:colOff>
      <xdr:row>11</xdr:row>
      <xdr:rowOff>140760</xdr:rowOff>
    </xdr:from>
    <xdr:to>
      <xdr:col>22</xdr:col>
      <xdr:colOff>204480</xdr:colOff>
      <xdr:row>16</xdr:row>
      <xdr:rowOff>78480</xdr:rowOff>
    </xdr:to>
    <xdr:sp>
      <xdr:nvSpPr>
        <xdr:cNvPr id="0" name="CustomShape 1"/>
        <xdr:cNvSpPr/>
      </xdr:nvSpPr>
      <xdr:spPr>
        <a:xfrm>
          <a:off x="15558120" y="223596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Willem II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20</xdr:col>
      <xdr:colOff>391680</xdr:colOff>
      <xdr:row>7</xdr:row>
      <xdr:rowOff>10080</xdr:rowOff>
    </xdr:from>
    <xdr:to>
      <xdr:col>22</xdr:col>
      <xdr:colOff>214200</xdr:colOff>
      <xdr:row>11</xdr:row>
      <xdr:rowOff>138240</xdr:rowOff>
    </xdr:to>
    <xdr:sp>
      <xdr:nvSpPr>
        <xdr:cNvPr id="1" name="CustomShape 1"/>
        <xdr:cNvSpPr/>
      </xdr:nvSpPr>
      <xdr:spPr>
        <a:xfrm>
          <a:off x="15567840" y="1343520"/>
          <a:ext cx="134028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605160</xdr:colOff>
      <xdr:row>9</xdr:row>
      <xdr:rowOff>78480</xdr:rowOff>
    </xdr:from>
    <xdr:to>
      <xdr:col>23</xdr:col>
      <xdr:colOff>427680</xdr:colOff>
      <xdr:row>14</xdr:row>
      <xdr:rowOff>16200</xdr:rowOff>
    </xdr:to>
    <xdr:sp>
      <xdr:nvSpPr>
        <xdr:cNvPr id="2" name="CustomShape 1"/>
        <xdr:cNvSpPr/>
      </xdr:nvSpPr>
      <xdr:spPr>
        <a:xfrm>
          <a:off x="16540200" y="179280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174960</xdr:colOff>
      <xdr:row>9</xdr:row>
      <xdr:rowOff>62640</xdr:rowOff>
    </xdr:from>
    <xdr:to>
      <xdr:col>20</xdr:col>
      <xdr:colOff>602640</xdr:colOff>
      <xdr:row>13</xdr:row>
      <xdr:rowOff>190800</xdr:rowOff>
    </xdr:to>
    <xdr:sp>
      <xdr:nvSpPr>
        <xdr:cNvPr id="3" name="CustomShape 1"/>
        <xdr:cNvSpPr/>
      </xdr:nvSpPr>
      <xdr:spPr>
        <a:xfrm>
          <a:off x="14592600" y="1776960"/>
          <a:ext cx="118620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209880</xdr:colOff>
      <xdr:row>11</xdr:row>
      <xdr:rowOff>151920</xdr:rowOff>
    </xdr:from>
    <xdr:to>
      <xdr:col>25</xdr:col>
      <xdr:colOff>20160</xdr:colOff>
      <xdr:row>16</xdr:row>
      <xdr:rowOff>89640</xdr:rowOff>
    </xdr:to>
    <xdr:sp>
      <xdr:nvSpPr>
        <xdr:cNvPr id="4" name="CustomShape 1"/>
        <xdr:cNvSpPr/>
      </xdr:nvSpPr>
      <xdr:spPr>
        <a:xfrm>
          <a:off x="17662680" y="2247120"/>
          <a:ext cx="13280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Beekse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Bergen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17</xdr:col>
      <xdr:colOff>571680</xdr:colOff>
      <xdr:row>11</xdr:row>
      <xdr:rowOff>134640</xdr:rowOff>
    </xdr:from>
    <xdr:to>
      <xdr:col>19</xdr:col>
      <xdr:colOff>389520</xdr:colOff>
      <xdr:row>16</xdr:row>
      <xdr:rowOff>72360</xdr:rowOff>
    </xdr:to>
    <xdr:sp>
      <xdr:nvSpPr>
        <xdr:cNvPr id="5" name="CustomShape 1"/>
        <xdr:cNvSpPr/>
      </xdr:nvSpPr>
      <xdr:spPr>
        <a:xfrm>
          <a:off x="13471560" y="222984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Donders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19</xdr:col>
      <xdr:colOff>173880</xdr:colOff>
      <xdr:row>14</xdr:row>
      <xdr:rowOff>0</xdr:rowOff>
    </xdr:from>
    <xdr:to>
      <xdr:col>20</xdr:col>
      <xdr:colOff>601560</xdr:colOff>
      <xdr:row>18</xdr:row>
      <xdr:rowOff>128160</xdr:rowOff>
    </xdr:to>
    <xdr:sp>
      <xdr:nvSpPr>
        <xdr:cNvPr id="6" name="CustomShape 1"/>
        <xdr:cNvSpPr/>
      </xdr:nvSpPr>
      <xdr:spPr>
        <a:xfrm>
          <a:off x="14591520" y="2666880"/>
          <a:ext cx="11862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604800</xdr:colOff>
      <xdr:row>14</xdr:row>
      <xdr:rowOff>16560</xdr:rowOff>
    </xdr:from>
    <xdr:to>
      <xdr:col>23</xdr:col>
      <xdr:colOff>419400</xdr:colOff>
      <xdr:row>18</xdr:row>
      <xdr:rowOff>144720</xdr:rowOff>
    </xdr:to>
    <xdr:sp>
      <xdr:nvSpPr>
        <xdr:cNvPr id="7" name="CustomShape 1"/>
        <xdr:cNvSpPr/>
      </xdr:nvSpPr>
      <xdr:spPr>
        <a:xfrm>
          <a:off x="16539840" y="268344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389160</xdr:colOff>
      <xdr:row>16</xdr:row>
      <xdr:rowOff>82800</xdr:rowOff>
    </xdr:from>
    <xdr:to>
      <xdr:col>22</xdr:col>
      <xdr:colOff>203760</xdr:colOff>
      <xdr:row>21</xdr:row>
      <xdr:rowOff>20520</xdr:rowOff>
    </xdr:to>
    <xdr:sp>
      <xdr:nvSpPr>
        <xdr:cNvPr id="8" name="CustomShape 1"/>
        <xdr:cNvSpPr/>
      </xdr:nvSpPr>
      <xdr:spPr>
        <a:xfrm>
          <a:off x="15565320" y="313056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574920</xdr:colOff>
      <xdr:row>16</xdr:row>
      <xdr:rowOff>69480</xdr:rowOff>
    </xdr:from>
    <xdr:to>
      <xdr:col>19</xdr:col>
      <xdr:colOff>397440</xdr:colOff>
      <xdr:row>21</xdr:row>
      <xdr:rowOff>7200</xdr:rowOff>
    </xdr:to>
    <xdr:sp>
      <xdr:nvSpPr>
        <xdr:cNvPr id="9" name="CustomShape 1"/>
        <xdr:cNvSpPr/>
      </xdr:nvSpPr>
      <xdr:spPr>
        <a:xfrm>
          <a:off x="13474800" y="311724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197280</xdr:colOff>
      <xdr:row>16</xdr:row>
      <xdr:rowOff>89280</xdr:rowOff>
    </xdr:from>
    <xdr:to>
      <xdr:col>25</xdr:col>
      <xdr:colOff>19800</xdr:colOff>
      <xdr:row>21</xdr:row>
      <xdr:rowOff>27000</xdr:rowOff>
    </xdr:to>
    <xdr:sp>
      <xdr:nvSpPr>
        <xdr:cNvPr id="10" name="CustomShape 1"/>
        <xdr:cNvSpPr/>
      </xdr:nvSpPr>
      <xdr:spPr>
        <a:xfrm>
          <a:off x="17650080" y="313704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357840</xdr:colOff>
      <xdr:row>14</xdr:row>
      <xdr:rowOff>4680</xdr:rowOff>
    </xdr:from>
    <xdr:to>
      <xdr:col>18</xdr:col>
      <xdr:colOff>172440</xdr:colOff>
      <xdr:row>18</xdr:row>
      <xdr:rowOff>132840</xdr:rowOff>
    </xdr:to>
    <xdr:sp>
      <xdr:nvSpPr>
        <xdr:cNvPr id="11" name="CustomShape 1"/>
        <xdr:cNvSpPr/>
      </xdr:nvSpPr>
      <xdr:spPr>
        <a:xfrm>
          <a:off x="12498840" y="267156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133200</xdr:colOff>
      <xdr:row>16</xdr:row>
      <xdr:rowOff>66240</xdr:rowOff>
    </xdr:from>
    <xdr:to>
      <xdr:col>16</xdr:col>
      <xdr:colOff>568440</xdr:colOff>
      <xdr:row>21</xdr:row>
      <xdr:rowOff>3960</xdr:rowOff>
    </xdr:to>
    <xdr:sp>
      <xdr:nvSpPr>
        <xdr:cNvPr id="12" name="CustomShape 1"/>
        <xdr:cNvSpPr/>
      </xdr:nvSpPr>
      <xdr:spPr>
        <a:xfrm>
          <a:off x="11515320" y="3114000"/>
          <a:ext cx="11941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529200</xdr:colOff>
      <xdr:row>18</xdr:row>
      <xdr:rowOff>118800</xdr:rowOff>
    </xdr:from>
    <xdr:to>
      <xdr:col>15</xdr:col>
      <xdr:colOff>343800</xdr:colOff>
      <xdr:row>23</xdr:row>
      <xdr:rowOff>56520</xdr:rowOff>
    </xdr:to>
    <xdr:sp>
      <xdr:nvSpPr>
        <xdr:cNvPr id="13" name="CustomShape 1"/>
        <xdr:cNvSpPr/>
      </xdr:nvSpPr>
      <xdr:spPr>
        <a:xfrm>
          <a:off x="10393920" y="3547800"/>
          <a:ext cx="133200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Anton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Philips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12</xdr:col>
      <xdr:colOff>312840</xdr:colOff>
      <xdr:row>21</xdr:row>
      <xdr:rowOff>0</xdr:rowOff>
    </xdr:from>
    <xdr:to>
      <xdr:col>14</xdr:col>
      <xdr:colOff>130680</xdr:colOff>
      <xdr:row>25</xdr:row>
      <xdr:rowOff>128160</xdr:rowOff>
    </xdr:to>
    <xdr:sp>
      <xdr:nvSpPr>
        <xdr:cNvPr id="14" name="CustomShape 1"/>
        <xdr:cNvSpPr/>
      </xdr:nvSpPr>
      <xdr:spPr>
        <a:xfrm>
          <a:off x="9418680" y="4000320"/>
          <a:ext cx="13352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11</xdr:col>
      <xdr:colOff>99360</xdr:colOff>
      <xdr:row>23</xdr:row>
      <xdr:rowOff>60840</xdr:rowOff>
    </xdr:from>
    <xdr:to>
      <xdr:col>12</xdr:col>
      <xdr:colOff>527040</xdr:colOff>
      <xdr:row>27</xdr:row>
      <xdr:rowOff>189000</xdr:rowOff>
    </xdr:to>
    <xdr:sp>
      <xdr:nvSpPr>
        <xdr:cNvPr id="15" name="CustomShape 1"/>
        <xdr:cNvSpPr/>
      </xdr:nvSpPr>
      <xdr:spPr>
        <a:xfrm>
          <a:off x="8446320" y="444204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414000</xdr:colOff>
      <xdr:row>14</xdr:row>
      <xdr:rowOff>24840</xdr:rowOff>
    </xdr:from>
    <xdr:to>
      <xdr:col>26</xdr:col>
      <xdr:colOff>236520</xdr:colOff>
      <xdr:row>18</xdr:row>
      <xdr:rowOff>153000</xdr:rowOff>
    </xdr:to>
    <xdr:sp>
      <xdr:nvSpPr>
        <xdr:cNvPr id="16" name="CustomShape 1"/>
        <xdr:cNvSpPr/>
      </xdr:nvSpPr>
      <xdr:spPr>
        <a:xfrm>
          <a:off x="18625680" y="269172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26</xdr:col>
      <xdr:colOff>16560</xdr:colOff>
      <xdr:row>16</xdr:row>
      <xdr:rowOff>91080</xdr:rowOff>
    </xdr:from>
    <xdr:to>
      <xdr:col>27</xdr:col>
      <xdr:colOff>451800</xdr:colOff>
      <xdr:row>21</xdr:row>
      <xdr:rowOff>28800</xdr:rowOff>
    </xdr:to>
    <xdr:sp>
      <xdr:nvSpPr>
        <xdr:cNvPr id="17" name="CustomShape 1"/>
        <xdr:cNvSpPr/>
      </xdr:nvSpPr>
      <xdr:spPr>
        <a:xfrm>
          <a:off x="19746000" y="3138840"/>
          <a:ext cx="11937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Bossche Broek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27</xdr:col>
      <xdr:colOff>230040</xdr:colOff>
      <xdr:row>18</xdr:row>
      <xdr:rowOff>159480</xdr:rowOff>
    </xdr:from>
    <xdr:to>
      <xdr:col>29</xdr:col>
      <xdr:colOff>52560</xdr:colOff>
      <xdr:row>23</xdr:row>
      <xdr:rowOff>97200</xdr:rowOff>
    </xdr:to>
    <xdr:sp>
      <xdr:nvSpPr>
        <xdr:cNvPr id="18" name="CustomShape 1"/>
        <xdr:cNvSpPr/>
      </xdr:nvSpPr>
      <xdr:spPr>
        <a:xfrm>
          <a:off x="20718000" y="3588480"/>
          <a:ext cx="134028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28</xdr:col>
      <xdr:colOff>447840</xdr:colOff>
      <xdr:row>21</xdr:row>
      <xdr:rowOff>42480</xdr:rowOff>
    </xdr:from>
    <xdr:to>
      <xdr:col>30</xdr:col>
      <xdr:colOff>258120</xdr:colOff>
      <xdr:row>25</xdr:row>
      <xdr:rowOff>170640</xdr:rowOff>
    </xdr:to>
    <xdr:sp>
      <xdr:nvSpPr>
        <xdr:cNvPr id="19" name="CustomShape 1"/>
        <xdr:cNvSpPr/>
      </xdr:nvSpPr>
      <xdr:spPr>
        <a:xfrm>
          <a:off x="21694680" y="4042800"/>
          <a:ext cx="13280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30</xdr:col>
      <xdr:colOff>38880</xdr:colOff>
      <xdr:row>23</xdr:row>
      <xdr:rowOff>105840</xdr:rowOff>
    </xdr:from>
    <xdr:to>
      <xdr:col>31</xdr:col>
      <xdr:colOff>474120</xdr:colOff>
      <xdr:row>28</xdr:row>
      <xdr:rowOff>43560</xdr:rowOff>
    </xdr:to>
    <xdr:sp>
      <xdr:nvSpPr>
        <xdr:cNvPr id="20" name="CustomShape 1"/>
        <xdr:cNvSpPr/>
      </xdr:nvSpPr>
      <xdr:spPr>
        <a:xfrm>
          <a:off x="22803480" y="4487040"/>
          <a:ext cx="119412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190440</xdr:colOff>
      <xdr:row>18</xdr:row>
      <xdr:rowOff>145800</xdr:rowOff>
    </xdr:from>
    <xdr:to>
      <xdr:col>21</xdr:col>
      <xdr:colOff>8280</xdr:colOff>
      <xdr:row>23</xdr:row>
      <xdr:rowOff>83520</xdr:rowOff>
    </xdr:to>
    <xdr:sp>
      <xdr:nvSpPr>
        <xdr:cNvPr id="21" name="CustomShape 1"/>
        <xdr:cNvSpPr/>
      </xdr:nvSpPr>
      <xdr:spPr>
        <a:xfrm>
          <a:off x="14608080" y="3574800"/>
          <a:ext cx="133524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589320</xdr:colOff>
      <xdr:row>18</xdr:row>
      <xdr:rowOff>152280</xdr:rowOff>
    </xdr:from>
    <xdr:to>
      <xdr:col>23</xdr:col>
      <xdr:colOff>407160</xdr:colOff>
      <xdr:row>23</xdr:row>
      <xdr:rowOff>90000</xdr:rowOff>
    </xdr:to>
    <xdr:sp>
      <xdr:nvSpPr>
        <xdr:cNvPr id="22" name="CustomShape 1"/>
        <xdr:cNvSpPr/>
      </xdr:nvSpPr>
      <xdr:spPr>
        <a:xfrm>
          <a:off x="16524360" y="358128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392040</xdr:colOff>
      <xdr:row>21</xdr:row>
      <xdr:rowOff>33480</xdr:rowOff>
    </xdr:from>
    <xdr:to>
      <xdr:col>22</xdr:col>
      <xdr:colOff>214560</xdr:colOff>
      <xdr:row>25</xdr:row>
      <xdr:rowOff>161640</xdr:rowOff>
    </xdr:to>
    <xdr:sp>
      <xdr:nvSpPr>
        <xdr:cNvPr id="23" name="CustomShape 1"/>
        <xdr:cNvSpPr/>
      </xdr:nvSpPr>
      <xdr:spPr>
        <a:xfrm>
          <a:off x="15568200" y="403380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Met Dubbel S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16</xdr:col>
      <xdr:colOff>358560</xdr:colOff>
      <xdr:row>18</xdr:row>
      <xdr:rowOff>145800</xdr:rowOff>
    </xdr:from>
    <xdr:to>
      <xdr:col>18</xdr:col>
      <xdr:colOff>176400</xdr:colOff>
      <xdr:row>23</xdr:row>
      <xdr:rowOff>83520</xdr:rowOff>
    </xdr:to>
    <xdr:sp>
      <xdr:nvSpPr>
        <xdr:cNvPr id="24" name="CustomShape 1"/>
        <xdr:cNvSpPr/>
      </xdr:nvSpPr>
      <xdr:spPr>
        <a:xfrm>
          <a:off x="12499560" y="357480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414720</xdr:colOff>
      <xdr:row>18</xdr:row>
      <xdr:rowOff>168120</xdr:rowOff>
    </xdr:from>
    <xdr:to>
      <xdr:col>26</xdr:col>
      <xdr:colOff>232560</xdr:colOff>
      <xdr:row>23</xdr:row>
      <xdr:rowOff>105840</xdr:rowOff>
    </xdr:to>
    <xdr:sp>
      <xdr:nvSpPr>
        <xdr:cNvPr id="25" name="CustomShape 1"/>
        <xdr:cNvSpPr/>
      </xdr:nvSpPr>
      <xdr:spPr>
        <a:xfrm>
          <a:off x="18626400" y="359712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134640</xdr:colOff>
      <xdr:row>21</xdr:row>
      <xdr:rowOff>0</xdr:rowOff>
    </xdr:from>
    <xdr:to>
      <xdr:col>16</xdr:col>
      <xdr:colOff>562320</xdr:colOff>
      <xdr:row>25</xdr:row>
      <xdr:rowOff>128160</xdr:rowOff>
    </xdr:to>
    <xdr:sp>
      <xdr:nvSpPr>
        <xdr:cNvPr id="26" name="CustomShape 1"/>
        <xdr:cNvSpPr/>
      </xdr:nvSpPr>
      <xdr:spPr>
        <a:xfrm>
          <a:off x="11516760" y="400032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1" lang="en-US" sz="1200" spc="-1" strike="noStrike">
              <a:solidFill>
                <a:srgbClr val="000000"/>
              </a:solidFill>
              <a:latin typeface="Calibri"/>
            </a:rPr>
            <a:t>040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12</xdr:col>
      <xdr:colOff>302400</xdr:colOff>
      <xdr:row>25</xdr:row>
      <xdr:rowOff>134640</xdr:rowOff>
    </xdr:from>
    <xdr:to>
      <xdr:col>14</xdr:col>
      <xdr:colOff>124920</xdr:colOff>
      <xdr:row>30</xdr:row>
      <xdr:rowOff>72360</xdr:rowOff>
    </xdr:to>
    <xdr:sp>
      <xdr:nvSpPr>
        <xdr:cNvPr id="27" name="CustomShape 1"/>
        <xdr:cNvSpPr/>
      </xdr:nvSpPr>
      <xdr:spPr>
        <a:xfrm>
          <a:off x="9408240" y="4897080"/>
          <a:ext cx="13399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1" lang="en-US" sz="1200" spc="-1" strike="noStrike">
              <a:solidFill>
                <a:srgbClr val="000000"/>
              </a:solidFill>
              <a:latin typeface="Calibri"/>
            </a:rPr>
            <a:t>Alaaf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13</xdr:col>
      <xdr:colOff>515520</xdr:colOff>
      <xdr:row>23</xdr:row>
      <xdr:rowOff>67320</xdr:rowOff>
    </xdr:from>
    <xdr:to>
      <xdr:col>15</xdr:col>
      <xdr:colOff>345600</xdr:colOff>
      <xdr:row>28</xdr:row>
      <xdr:rowOff>5040</xdr:rowOff>
    </xdr:to>
    <xdr:sp>
      <xdr:nvSpPr>
        <xdr:cNvPr id="28" name="CustomShape 1"/>
        <xdr:cNvSpPr/>
      </xdr:nvSpPr>
      <xdr:spPr>
        <a:xfrm>
          <a:off x="10380240" y="4448520"/>
          <a:ext cx="13474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515520</xdr:colOff>
      <xdr:row>28</xdr:row>
      <xdr:rowOff>22320</xdr:rowOff>
    </xdr:from>
    <xdr:to>
      <xdr:col>15</xdr:col>
      <xdr:colOff>333360</xdr:colOff>
      <xdr:row>32</xdr:row>
      <xdr:rowOff>150480</xdr:rowOff>
    </xdr:to>
    <xdr:sp>
      <xdr:nvSpPr>
        <xdr:cNvPr id="29" name="CustomShape 1"/>
        <xdr:cNvSpPr/>
      </xdr:nvSpPr>
      <xdr:spPr>
        <a:xfrm>
          <a:off x="10380240" y="5356080"/>
          <a:ext cx="13352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123120</xdr:colOff>
      <xdr:row>25</xdr:row>
      <xdr:rowOff>145800</xdr:rowOff>
    </xdr:from>
    <xdr:to>
      <xdr:col>16</xdr:col>
      <xdr:colOff>542880</xdr:colOff>
      <xdr:row>30</xdr:row>
      <xdr:rowOff>83520</xdr:rowOff>
    </xdr:to>
    <xdr:sp>
      <xdr:nvSpPr>
        <xdr:cNvPr id="30" name="CustomShape 1"/>
        <xdr:cNvSpPr/>
      </xdr:nvSpPr>
      <xdr:spPr>
        <a:xfrm>
          <a:off x="11505240" y="4908240"/>
          <a:ext cx="117864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336240</xdr:colOff>
      <xdr:row>23</xdr:row>
      <xdr:rowOff>78480</xdr:rowOff>
    </xdr:from>
    <xdr:to>
      <xdr:col>18</xdr:col>
      <xdr:colOff>166320</xdr:colOff>
      <xdr:row>28</xdr:row>
      <xdr:rowOff>16200</xdr:rowOff>
    </xdr:to>
    <xdr:sp>
      <xdr:nvSpPr>
        <xdr:cNvPr id="31" name="CustomShape 1"/>
        <xdr:cNvSpPr/>
      </xdr:nvSpPr>
      <xdr:spPr>
        <a:xfrm>
          <a:off x="12477240" y="445968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571680</xdr:colOff>
      <xdr:row>21</xdr:row>
      <xdr:rowOff>22320</xdr:rowOff>
    </xdr:from>
    <xdr:to>
      <xdr:col>19</xdr:col>
      <xdr:colOff>386280</xdr:colOff>
      <xdr:row>25</xdr:row>
      <xdr:rowOff>150480</xdr:rowOff>
    </xdr:to>
    <xdr:sp>
      <xdr:nvSpPr>
        <xdr:cNvPr id="32" name="CustomShape 1"/>
        <xdr:cNvSpPr/>
      </xdr:nvSpPr>
      <xdr:spPr>
        <a:xfrm>
          <a:off x="13471560" y="402264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179280</xdr:colOff>
      <xdr:row>23</xdr:row>
      <xdr:rowOff>100800</xdr:rowOff>
    </xdr:from>
    <xdr:to>
      <xdr:col>21</xdr:col>
      <xdr:colOff>1800</xdr:colOff>
      <xdr:row>28</xdr:row>
      <xdr:rowOff>38520</xdr:rowOff>
    </xdr:to>
    <xdr:sp>
      <xdr:nvSpPr>
        <xdr:cNvPr id="33" name="CustomShape 1"/>
        <xdr:cNvSpPr/>
      </xdr:nvSpPr>
      <xdr:spPr>
        <a:xfrm>
          <a:off x="14596920" y="4482000"/>
          <a:ext cx="13399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201600</xdr:colOff>
      <xdr:row>21</xdr:row>
      <xdr:rowOff>33480</xdr:rowOff>
    </xdr:from>
    <xdr:to>
      <xdr:col>25</xdr:col>
      <xdr:colOff>24120</xdr:colOff>
      <xdr:row>25</xdr:row>
      <xdr:rowOff>161640</xdr:rowOff>
    </xdr:to>
    <xdr:sp>
      <xdr:nvSpPr>
        <xdr:cNvPr id="34" name="CustomShape 1"/>
        <xdr:cNvSpPr/>
      </xdr:nvSpPr>
      <xdr:spPr>
        <a:xfrm>
          <a:off x="17654400" y="403380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26</xdr:col>
      <xdr:colOff>22320</xdr:colOff>
      <xdr:row>21</xdr:row>
      <xdr:rowOff>45000</xdr:rowOff>
    </xdr:from>
    <xdr:to>
      <xdr:col>27</xdr:col>
      <xdr:colOff>450000</xdr:colOff>
      <xdr:row>25</xdr:row>
      <xdr:rowOff>173160</xdr:rowOff>
    </xdr:to>
    <xdr:sp>
      <xdr:nvSpPr>
        <xdr:cNvPr id="35" name="CustomShape 1"/>
        <xdr:cNvSpPr/>
      </xdr:nvSpPr>
      <xdr:spPr>
        <a:xfrm>
          <a:off x="19751760" y="4045320"/>
          <a:ext cx="11862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Natuur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27</xdr:col>
      <xdr:colOff>212760</xdr:colOff>
      <xdr:row>23</xdr:row>
      <xdr:rowOff>100800</xdr:rowOff>
    </xdr:from>
    <xdr:to>
      <xdr:col>29</xdr:col>
      <xdr:colOff>42840</xdr:colOff>
      <xdr:row>28</xdr:row>
      <xdr:rowOff>38520</xdr:rowOff>
    </xdr:to>
    <xdr:sp>
      <xdr:nvSpPr>
        <xdr:cNvPr id="36" name="CustomShape 1"/>
        <xdr:cNvSpPr/>
      </xdr:nvSpPr>
      <xdr:spPr>
        <a:xfrm>
          <a:off x="20700720" y="448200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28</xdr:col>
      <xdr:colOff>437040</xdr:colOff>
      <xdr:row>25</xdr:row>
      <xdr:rowOff>179280</xdr:rowOff>
    </xdr:from>
    <xdr:to>
      <xdr:col>30</xdr:col>
      <xdr:colOff>259560</xdr:colOff>
      <xdr:row>30</xdr:row>
      <xdr:rowOff>117000</xdr:rowOff>
    </xdr:to>
    <xdr:sp>
      <xdr:nvSpPr>
        <xdr:cNvPr id="37" name="CustomShape 1"/>
        <xdr:cNvSpPr/>
      </xdr:nvSpPr>
      <xdr:spPr>
        <a:xfrm>
          <a:off x="21683880" y="494172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30</xdr:col>
      <xdr:colOff>33480</xdr:colOff>
      <xdr:row>28</xdr:row>
      <xdr:rowOff>56160</xdr:rowOff>
    </xdr:from>
    <xdr:to>
      <xdr:col>31</xdr:col>
      <xdr:colOff>468720</xdr:colOff>
      <xdr:row>32</xdr:row>
      <xdr:rowOff>184320</xdr:rowOff>
    </xdr:to>
    <xdr:sp>
      <xdr:nvSpPr>
        <xdr:cNvPr id="38" name="CustomShape 1"/>
        <xdr:cNvSpPr/>
      </xdr:nvSpPr>
      <xdr:spPr>
        <a:xfrm>
          <a:off x="22798080" y="5389920"/>
          <a:ext cx="11941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403560</xdr:colOff>
      <xdr:row>23</xdr:row>
      <xdr:rowOff>123120</xdr:rowOff>
    </xdr:from>
    <xdr:to>
      <xdr:col>26</xdr:col>
      <xdr:colOff>233640</xdr:colOff>
      <xdr:row>28</xdr:row>
      <xdr:rowOff>60840</xdr:rowOff>
    </xdr:to>
    <xdr:sp>
      <xdr:nvSpPr>
        <xdr:cNvPr id="39" name="CustomShape 1"/>
        <xdr:cNvSpPr/>
      </xdr:nvSpPr>
      <xdr:spPr>
        <a:xfrm>
          <a:off x="18615240" y="450432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11</xdr:col>
      <xdr:colOff>78480</xdr:colOff>
      <xdr:row>28</xdr:row>
      <xdr:rowOff>11160</xdr:rowOff>
    </xdr:from>
    <xdr:to>
      <xdr:col>12</xdr:col>
      <xdr:colOff>513720</xdr:colOff>
      <xdr:row>32</xdr:row>
      <xdr:rowOff>139320</xdr:rowOff>
    </xdr:to>
    <xdr:sp>
      <xdr:nvSpPr>
        <xdr:cNvPr id="40" name="CustomShape 1"/>
        <xdr:cNvSpPr/>
      </xdr:nvSpPr>
      <xdr:spPr>
        <a:xfrm>
          <a:off x="8425440" y="5344920"/>
          <a:ext cx="11941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12</xdr:col>
      <xdr:colOff>302400</xdr:colOff>
      <xdr:row>30</xdr:row>
      <xdr:rowOff>67320</xdr:rowOff>
    </xdr:from>
    <xdr:to>
      <xdr:col>14</xdr:col>
      <xdr:colOff>124920</xdr:colOff>
      <xdr:row>35</xdr:row>
      <xdr:rowOff>5040</xdr:rowOff>
    </xdr:to>
    <xdr:sp>
      <xdr:nvSpPr>
        <xdr:cNvPr id="41" name="CustomShape 1"/>
        <xdr:cNvSpPr/>
      </xdr:nvSpPr>
      <xdr:spPr>
        <a:xfrm>
          <a:off x="9408240" y="5782320"/>
          <a:ext cx="133992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11</xdr:col>
      <xdr:colOff>89640</xdr:colOff>
      <xdr:row>32</xdr:row>
      <xdr:rowOff>134640</xdr:rowOff>
    </xdr:from>
    <xdr:to>
      <xdr:col>12</xdr:col>
      <xdr:colOff>512640</xdr:colOff>
      <xdr:row>37</xdr:row>
      <xdr:rowOff>72360</xdr:rowOff>
    </xdr:to>
    <xdr:sp>
      <xdr:nvSpPr>
        <xdr:cNvPr id="42" name="CustomShape 1"/>
        <xdr:cNvSpPr/>
      </xdr:nvSpPr>
      <xdr:spPr>
        <a:xfrm>
          <a:off x="8436600" y="6230520"/>
          <a:ext cx="11818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De Lind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11</xdr:col>
      <xdr:colOff>88200</xdr:colOff>
      <xdr:row>37</xdr:row>
      <xdr:rowOff>89640</xdr:rowOff>
    </xdr:from>
    <xdr:to>
      <xdr:col>12</xdr:col>
      <xdr:colOff>515880</xdr:colOff>
      <xdr:row>42</xdr:row>
      <xdr:rowOff>27360</xdr:rowOff>
    </xdr:to>
    <xdr:sp>
      <xdr:nvSpPr>
        <xdr:cNvPr id="43" name="CustomShape 1"/>
        <xdr:cNvSpPr/>
      </xdr:nvSpPr>
      <xdr:spPr>
        <a:xfrm>
          <a:off x="8435160" y="713808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11</xdr:col>
      <xdr:colOff>67320</xdr:colOff>
      <xdr:row>42</xdr:row>
      <xdr:rowOff>39960</xdr:rowOff>
    </xdr:from>
    <xdr:to>
      <xdr:col>12</xdr:col>
      <xdr:colOff>502560</xdr:colOff>
      <xdr:row>46</xdr:row>
      <xdr:rowOff>168120</xdr:rowOff>
    </xdr:to>
    <xdr:sp>
      <xdr:nvSpPr>
        <xdr:cNvPr id="44" name="CustomShape 1"/>
        <xdr:cNvSpPr/>
      </xdr:nvSpPr>
      <xdr:spPr>
        <a:xfrm>
          <a:off x="8414280" y="8040960"/>
          <a:ext cx="119412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11</xdr:col>
      <xdr:colOff>78480</xdr:colOff>
      <xdr:row>46</xdr:row>
      <xdr:rowOff>163080</xdr:rowOff>
    </xdr:from>
    <xdr:to>
      <xdr:col>12</xdr:col>
      <xdr:colOff>501480</xdr:colOff>
      <xdr:row>51</xdr:row>
      <xdr:rowOff>100800</xdr:rowOff>
    </xdr:to>
    <xdr:sp>
      <xdr:nvSpPr>
        <xdr:cNvPr id="45" name="CustomShape 1"/>
        <xdr:cNvSpPr/>
      </xdr:nvSpPr>
      <xdr:spPr>
        <a:xfrm>
          <a:off x="8425440" y="8925840"/>
          <a:ext cx="11818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Hulsel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12</xdr:col>
      <xdr:colOff>302400</xdr:colOff>
      <xdr:row>35</xdr:row>
      <xdr:rowOff>22320</xdr:rowOff>
    </xdr:from>
    <xdr:to>
      <xdr:col>14</xdr:col>
      <xdr:colOff>124920</xdr:colOff>
      <xdr:row>39</xdr:row>
      <xdr:rowOff>150480</xdr:rowOff>
    </xdr:to>
    <xdr:sp>
      <xdr:nvSpPr>
        <xdr:cNvPr id="46" name="CustomShape 1"/>
        <xdr:cNvSpPr/>
      </xdr:nvSpPr>
      <xdr:spPr>
        <a:xfrm>
          <a:off x="9408240" y="6689520"/>
          <a:ext cx="13399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1" lang="en-US" sz="1200" spc="-1" strike="noStrike">
              <a:solidFill>
                <a:srgbClr val="000000"/>
              </a:solidFill>
              <a:latin typeface="Calibri"/>
            </a:rPr>
            <a:t>Kiosk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13</xdr:col>
      <xdr:colOff>493200</xdr:colOff>
      <xdr:row>42</xdr:row>
      <xdr:rowOff>45000</xdr:rowOff>
    </xdr:from>
    <xdr:to>
      <xdr:col>15</xdr:col>
      <xdr:colOff>323280</xdr:colOff>
      <xdr:row>46</xdr:row>
      <xdr:rowOff>173160</xdr:rowOff>
    </xdr:to>
    <xdr:sp>
      <xdr:nvSpPr>
        <xdr:cNvPr id="47" name="CustomShape 1"/>
        <xdr:cNvSpPr/>
      </xdr:nvSpPr>
      <xdr:spPr>
        <a:xfrm>
          <a:off x="10357920" y="8046000"/>
          <a:ext cx="134748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12</xdr:col>
      <xdr:colOff>302400</xdr:colOff>
      <xdr:row>39</xdr:row>
      <xdr:rowOff>168120</xdr:rowOff>
    </xdr:from>
    <xdr:to>
      <xdr:col>14</xdr:col>
      <xdr:colOff>120240</xdr:colOff>
      <xdr:row>44</xdr:row>
      <xdr:rowOff>105840</xdr:rowOff>
    </xdr:to>
    <xdr:sp>
      <xdr:nvSpPr>
        <xdr:cNvPr id="48" name="CustomShape 1"/>
        <xdr:cNvSpPr/>
      </xdr:nvSpPr>
      <xdr:spPr>
        <a:xfrm>
          <a:off x="9408240" y="7597440"/>
          <a:ext cx="13352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504360</xdr:colOff>
      <xdr:row>32</xdr:row>
      <xdr:rowOff>145800</xdr:rowOff>
    </xdr:from>
    <xdr:to>
      <xdr:col>15</xdr:col>
      <xdr:colOff>334440</xdr:colOff>
      <xdr:row>37</xdr:row>
      <xdr:rowOff>83520</xdr:rowOff>
    </xdr:to>
    <xdr:sp>
      <xdr:nvSpPr>
        <xdr:cNvPr id="49" name="CustomShape 1"/>
        <xdr:cNvSpPr/>
      </xdr:nvSpPr>
      <xdr:spPr>
        <a:xfrm>
          <a:off x="10369080" y="6241680"/>
          <a:ext cx="13474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515520</xdr:colOff>
      <xdr:row>37</xdr:row>
      <xdr:rowOff>100800</xdr:rowOff>
    </xdr:from>
    <xdr:to>
      <xdr:col>15</xdr:col>
      <xdr:colOff>338040</xdr:colOff>
      <xdr:row>42</xdr:row>
      <xdr:rowOff>38520</xdr:rowOff>
    </xdr:to>
    <xdr:sp>
      <xdr:nvSpPr>
        <xdr:cNvPr id="50" name="CustomShape 1"/>
        <xdr:cNvSpPr/>
      </xdr:nvSpPr>
      <xdr:spPr>
        <a:xfrm>
          <a:off x="10380240" y="7149240"/>
          <a:ext cx="133992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123120</xdr:colOff>
      <xdr:row>30</xdr:row>
      <xdr:rowOff>89640</xdr:rowOff>
    </xdr:from>
    <xdr:to>
      <xdr:col>16</xdr:col>
      <xdr:colOff>550800</xdr:colOff>
      <xdr:row>35</xdr:row>
      <xdr:rowOff>27360</xdr:rowOff>
    </xdr:to>
    <xdr:sp>
      <xdr:nvSpPr>
        <xdr:cNvPr id="51" name="CustomShape 1"/>
        <xdr:cNvSpPr/>
      </xdr:nvSpPr>
      <xdr:spPr>
        <a:xfrm>
          <a:off x="11505240" y="5804640"/>
          <a:ext cx="118656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560160</xdr:colOff>
      <xdr:row>25</xdr:row>
      <xdr:rowOff>156960</xdr:rowOff>
    </xdr:from>
    <xdr:to>
      <xdr:col>19</xdr:col>
      <xdr:colOff>382680</xdr:colOff>
      <xdr:row>30</xdr:row>
      <xdr:rowOff>94680</xdr:rowOff>
    </xdr:to>
    <xdr:sp>
      <xdr:nvSpPr>
        <xdr:cNvPr id="52" name="CustomShape 1"/>
        <xdr:cNvSpPr/>
      </xdr:nvSpPr>
      <xdr:spPr>
        <a:xfrm>
          <a:off x="13460040" y="491940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336240</xdr:colOff>
      <xdr:row>28</xdr:row>
      <xdr:rowOff>22320</xdr:rowOff>
    </xdr:from>
    <xdr:to>
      <xdr:col>18</xdr:col>
      <xdr:colOff>154080</xdr:colOff>
      <xdr:row>32</xdr:row>
      <xdr:rowOff>150480</xdr:rowOff>
    </xdr:to>
    <xdr:sp>
      <xdr:nvSpPr>
        <xdr:cNvPr id="53" name="CustomShape 1"/>
        <xdr:cNvSpPr/>
      </xdr:nvSpPr>
      <xdr:spPr>
        <a:xfrm>
          <a:off x="12477240" y="535608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123120</xdr:colOff>
      <xdr:row>35</xdr:row>
      <xdr:rowOff>33480</xdr:rowOff>
    </xdr:from>
    <xdr:to>
      <xdr:col>16</xdr:col>
      <xdr:colOff>546120</xdr:colOff>
      <xdr:row>39</xdr:row>
      <xdr:rowOff>161640</xdr:rowOff>
    </xdr:to>
    <xdr:sp>
      <xdr:nvSpPr>
        <xdr:cNvPr id="54" name="CustomShape 1"/>
        <xdr:cNvSpPr/>
      </xdr:nvSpPr>
      <xdr:spPr>
        <a:xfrm>
          <a:off x="11505240" y="6700680"/>
          <a:ext cx="11818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380880</xdr:colOff>
      <xdr:row>25</xdr:row>
      <xdr:rowOff>179280</xdr:rowOff>
    </xdr:from>
    <xdr:to>
      <xdr:col>22</xdr:col>
      <xdr:colOff>198720</xdr:colOff>
      <xdr:row>30</xdr:row>
      <xdr:rowOff>117000</xdr:rowOff>
    </xdr:to>
    <xdr:sp>
      <xdr:nvSpPr>
        <xdr:cNvPr id="55" name="CustomShape 1"/>
        <xdr:cNvSpPr/>
      </xdr:nvSpPr>
      <xdr:spPr>
        <a:xfrm>
          <a:off x="15557040" y="494172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156960</xdr:colOff>
      <xdr:row>28</xdr:row>
      <xdr:rowOff>45000</xdr:rowOff>
    </xdr:from>
    <xdr:to>
      <xdr:col>20</xdr:col>
      <xdr:colOff>576720</xdr:colOff>
      <xdr:row>32</xdr:row>
      <xdr:rowOff>173160</xdr:rowOff>
    </xdr:to>
    <xdr:sp>
      <xdr:nvSpPr>
        <xdr:cNvPr id="56" name="CustomShape 1"/>
        <xdr:cNvSpPr/>
      </xdr:nvSpPr>
      <xdr:spPr>
        <a:xfrm>
          <a:off x="14574600" y="5378760"/>
          <a:ext cx="1178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594000</xdr:colOff>
      <xdr:row>23</xdr:row>
      <xdr:rowOff>100800</xdr:rowOff>
    </xdr:from>
    <xdr:to>
      <xdr:col>23</xdr:col>
      <xdr:colOff>408600</xdr:colOff>
      <xdr:row>28</xdr:row>
      <xdr:rowOff>38520</xdr:rowOff>
    </xdr:to>
    <xdr:sp>
      <xdr:nvSpPr>
        <xdr:cNvPr id="57" name="CustomShape 1"/>
        <xdr:cNvSpPr/>
      </xdr:nvSpPr>
      <xdr:spPr>
        <a:xfrm>
          <a:off x="16529040" y="448200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190440</xdr:colOff>
      <xdr:row>25</xdr:row>
      <xdr:rowOff>168120</xdr:rowOff>
    </xdr:from>
    <xdr:to>
      <xdr:col>25</xdr:col>
      <xdr:colOff>12960</xdr:colOff>
      <xdr:row>30</xdr:row>
      <xdr:rowOff>105840</xdr:rowOff>
    </xdr:to>
    <xdr:sp>
      <xdr:nvSpPr>
        <xdr:cNvPr id="58" name="CustomShape 1"/>
        <xdr:cNvSpPr/>
      </xdr:nvSpPr>
      <xdr:spPr>
        <a:xfrm>
          <a:off x="17643240" y="493056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582840</xdr:colOff>
      <xdr:row>28</xdr:row>
      <xdr:rowOff>45000</xdr:rowOff>
    </xdr:from>
    <xdr:to>
      <xdr:col>23</xdr:col>
      <xdr:colOff>405360</xdr:colOff>
      <xdr:row>32</xdr:row>
      <xdr:rowOff>173160</xdr:rowOff>
    </xdr:to>
    <xdr:sp>
      <xdr:nvSpPr>
        <xdr:cNvPr id="59" name="CustomShape 1"/>
        <xdr:cNvSpPr/>
      </xdr:nvSpPr>
      <xdr:spPr>
        <a:xfrm>
          <a:off x="16517880" y="537876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26</xdr:col>
      <xdr:colOff>11160</xdr:colOff>
      <xdr:row>26</xdr:row>
      <xdr:rowOff>0</xdr:rowOff>
    </xdr:from>
    <xdr:to>
      <xdr:col>27</xdr:col>
      <xdr:colOff>438840</xdr:colOff>
      <xdr:row>30</xdr:row>
      <xdr:rowOff>128160</xdr:rowOff>
    </xdr:to>
    <xdr:sp>
      <xdr:nvSpPr>
        <xdr:cNvPr id="60" name="CustomShape 1"/>
        <xdr:cNvSpPr/>
      </xdr:nvSpPr>
      <xdr:spPr>
        <a:xfrm>
          <a:off x="19740600" y="4952880"/>
          <a:ext cx="118620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403560</xdr:colOff>
      <xdr:row>28</xdr:row>
      <xdr:rowOff>78480</xdr:rowOff>
    </xdr:from>
    <xdr:to>
      <xdr:col>26</xdr:col>
      <xdr:colOff>221400</xdr:colOff>
      <xdr:row>33</xdr:row>
      <xdr:rowOff>16200</xdr:rowOff>
    </xdr:to>
    <xdr:sp>
      <xdr:nvSpPr>
        <xdr:cNvPr id="61" name="CustomShape 1"/>
        <xdr:cNvSpPr/>
      </xdr:nvSpPr>
      <xdr:spPr>
        <a:xfrm>
          <a:off x="18615240" y="541224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179280</xdr:colOff>
      <xdr:row>30</xdr:row>
      <xdr:rowOff>123120</xdr:rowOff>
    </xdr:from>
    <xdr:to>
      <xdr:col>24</xdr:col>
      <xdr:colOff>599040</xdr:colOff>
      <xdr:row>35</xdr:row>
      <xdr:rowOff>60840</xdr:rowOff>
    </xdr:to>
    <xdr:sp>
      <xdr:nvSpPr>
        <xdr:cNvPr id="62" name="CustomShape 1"/>
        <xdr:cNvSpPr/>
      </xdr:nvSpPr>
      <xdr:spPr>
        <a:xfrm>
          <a:off x="17632080" y="5838120"/>
          <a:ext cx="117864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369720</xdr:colOff>
      <xdr:row>30</xdr:row>
      <xdr:rowOff>134640</xdr:rowOff>
    </xdr:from>
    <xdr:to>
      <xdr:col>22</xdr:col>
      <xdr:colOff>192240</xdr:colOff>
      <xdr:row>35</xdr:row>
      <xdr:rowOff>72360</xdr:rowOff>
    </xdr:to>
    <xdr:sp>
      <xdr:nvSpPr>
        <xdr:cNvPr id="63" name="CustomShape 1"/>
        <xdr:cNvSpPr/>
      </xdr:nvSpPr>
      <xdr:spPr>
        <a:xfrm>
          <a:off x="15545880" y="5849640"/>
          <a:ext cx="134028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369720</xdr:colOff>
      <xdr:row>35</xdr:row>
      <xdr:rowOff>89640</xdr:rowOff>
    </xdr:from>
    <xdr:to>
      <xdr:col>22</xdr:col>
      <xdr:colOff>184320</xdr:colOff>
      <xdr:row>40</xdr:row>
      <xdr:rowOff>27360</xdr:rowOff>
    </xdr:to>
    <xdr:sp>
      <xdr:nvSpPr>
        <xdr:cNvPr id="64" name="CustomShape 1"/>
        <xdr:cNvSpPr/>
      </xdr:nvSpPr>
      <xdr:spPr>
        <a:xfrm>
          <a:off x="15545880" y="675684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358560</xdr:colOff>
      <xdr:row>40</xdr:row>
      <xdr:rowOff>33480</xdr:rowOff>
    </xdr:from>
    <xdr:to>
      <xdr:col>22</xdr:col>
      <xdr:colOff>181080</xdr:colOff>
      <xdr:row>44</xdr:row>
      <xdr:rowOff>161640</xdr:rowOff>
    </xdr:to>
    <xdr:sp>
      <xdr:nvSpPr>
        <xdr:cNvPr id="65" name="CustomShape 1"/>
        <xdr:cNvSpPr/>
      </xdr:nvSpPr>
      <xdr:spPr>
        <a:xfrm>
          <a:off x="15534720" y="765324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Buurt -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schap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20</xdr:col>
      <xdr:colOff>369720</xdr:colOff>
      <xdr:row>44</xdr:row>
      <xdr:rowOff>179280</xdr:rowOff>
    </xdr:from>
    <xdr:to>
      <xdr:col>22</xdr:col>
      <xdr:colOff>184320</xdr:colOff>
      <xdr:row>49</xdr:row>
      <xdr:rowOff>117000</xdr:rowOff>
    </xdr:to>
    <xdr:sp>
      <xdr:nvSpPr>
        <xdr:cNvPr id="66" name="CustomShape 1"/>
        <xdr:cNvSpPr/>
      </xdr:nvSpPr>
      <xdr:spPr>
        <a:xfrm>
          <a:off x="15545880" y="856116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358560</xdr:colOff>
      <xdr:row>49</xdr:row>
      <xdr:rowOff>123120</xdr:rowOff>
    </xdr:from>
    <xdr:to>
      <xdr:col>22</xdr:col>
      <xdr:colOff>181080</xdr:colOff>
      <xdr:row>54</xdr:row>
      <xdr:rowOff>60840</xdr:rowOff>
    </xdr:to>
    <xdr:sp>
      <xdr:nvSpPr>
        <xdr:cNvPr id="67" name="CustomShape 1"/>
        <xdr:cNvSpPr/>
      </xdr:nvSpPr>
      <xdr:spPr>
        <a:xfrm>
          <a:off x="15534720" y="945756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Kasteel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17</xdr:col>
      <xdr:colOff>537840</xdr:colOff>
      <xdr:row>30</xdr:row>
      <xdr:rowOff>111960</xdr:rowOff>
    </xdr:from>
    <xdr:to>
      <xdr:col>19</xdr:col>
      <xdr:colOff>367920</xdr:colOff>
      <xdr:row>35</xdr:row>
      <xdr:rowOff>49680</xdr:rowOff>
    </xdr:to>
    <xdr:sp>
      <xdr:nvSpPr>
        <xdr:cNvPr id="68" name="CustomShape 1"/>
        <xdr:cNvSpPr/>
      </xdr:nvSpPr>
      <xdr:spPr>
        <a:xfrm>
          <a:off x="13437720" y="5826960"/>
          <a:ext cx="134784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537840</xdr:colOff>
      <xdr:row>35</xdr:row>
      <xdr:rowOff>56160</xdr:rowOff>
    </xdr:from>
    <xdr:to>
      <xdr:col>19</xdr:col>
      <xdr:colOff>360360</xdr:colOff>
      <xdr:row>39</xdr:row>
      <xdr:rowOff>184320</xdr:rowOff>
    </xdr:to>
    <xdr:sp>
      <xdr:nvSpPr>
        <xdr:cNvPr id="69" name="CustomShape 1"/>
        <xdr:cNvSpPr/>
      </xdr:nvSpPr>
      <xdr:spPr>
        <a:xfrm>
          <a:off x="13437720" y="672336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Cijfer /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Getal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17</xdr:col>
      <xdr:colOff>537840</xdr:colOff>
      <xdr:row>40</xdr:row>
      <xdr:rowOff>11160</xdr:rowOff>
    </xdr:from>
    <xdr:to>
      <xdr:col>19</xdr:col>
      <xdr:colOff>352440</xdr:colOff>
      <xdr:row>44</xdr:row>
      <xdr:rowOff>139320</xdr:rowOff>
    </xdr:to>
    <xdr:sp>
      <xdr:nvSpPr>
        <xdr:cNvPr id="70" name="CustomShape 1"/>
        <xdr:cNvSpPr/>
      </xdr:nvSpPr>
      <xdr:spPr>
        <a:xfrm>
          <a:off x="13437720" y="763092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526680</xdr:colOff>
      <xdr:row>44</xdr:row>
      <xdr:rowOff>145800</xdr:rowOff>
    </xdr:from>
    <xdr:to>
      <xdr:col>19</xdr:col>
      <xdr:colOff>349200</xdr:colOff>
      <xdr:row>49</xdr:row>
      <xdr:rowOff>83520</xdr:rowOff>
    </xdr:to>
    <xdr:sp>
      <xdr:nvSpPr>
        <xdr:cNvPr id="71" name="CustomShape 1"/>
        <xdr:cNvSpPr/>
      </xdr:nvSpPr>
      <xdr:spPr>
        <a:xfrm>
          <a:off x="13426560" y="852768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537840</xdr:colOff>
      <xdr:row>49</xdr:row>
      <xdr:rowOff>100800</xdr:rowOff>
    </xdr:from>
    <xdr:to>
      <xdr:col>19</xdr:col>
      <xdr:colOff>352440</xdr:colOff>
      <xdr:row>54</xdr:row>
      <xdr:rowOff>38520</xdr:rowOff>
    </xdr:to>
    <xdr:sp>
      <xdr:nvSpPr>
        <xdr:cNvPr id="72" name="CustomShape 1"/>
        <xdr:cNvSpPr/>
      </xdr:nvSpPr>
      <xdr:spPr>
        <a:xfrm>
          <a:off x="13437720" y="943524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526680</xdr:colOff>
      <xdr:row>54</xdr:row>
      <xdr:rowOff>45000</xdr:rowOff>
    </xdr:from>
    <xdr:to>
      <xdr:col>19</xdr:col>
      <xdr:colOff>349200</xdr:colOff>
      <xdr:row>58</xdr:row>
      <xdr:rowOff>173160</xdr:rowOff>
    </xdr:to>
    <xdr:sp>
      <xdr:nvSpPr>
        <xdr:cNvPr id="73" name="CustomShape 1"/>
        <xdr:cNvSpPr/>
      </xdr:nvSpPr>
      <xdr:spPr>
        <a:xfrm>
          <a:off x="13426560" y="10332000"/>
          <a:ext cx="134028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111960</xdr:colOff>
      <xdr:row>39</xdr:row>
      <xdr:rowOff>168120</xdr:rowOff>
    </xdr:from>
    <xdr:to>
      <xdr:col>16</xdr:col>
      <xdr:colOff>539640</xdr:colOff>
      <xdr:row>44</xdr:row>
      <xdr:rowOff>105840</xdr:rowOff>
    </xdr:to>
    <xdr:sp>
      <xdr:nvSpPr>
        <xdr:cNvPr id="74" name="CustomShape 1"/>
        <xdr:cNvSpPr/>
      </xdr:nvSpPr>
      <xdr:spPr>
        <a:xfrm>
          <a:off x="11494080" y="759744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111960</xdr:colOff>
      <xdr:row>44</xdr:row>
      <xdr:rowOff>123120</xdr:rowOff>
    </xdr:from>
    <xdr:to>
      <xdr:col>16</xdr:col>
      <xdr:colOff>531720</xdr:colOff>
      <xdr:row>49</xdr:row>
      <xdr:rowOff>60840</xdr:rowOff>
    </xdr:to>
    <xdr:sp>
      <xdr:nvSpPr>
        <xdr:cNvPr id="75" name="CustomShape 1"/>
        <xdr:cNvSpPr/>
      </xdr:nvSpPr>
      <xdr:spPr>
        <a:xfrm>
          <a:off x="11494080" y="8505000"/>
          <a:ext cx="117864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100800</xdr:colOff>
      <xdr:row>49</xdr:row>
      <xdr:rowOff>67320</xdr:rowOff>
    </xdr:from>
    <xdr:to>
      <xdr:col>16</xdr:col>
      <xdr:colOff>528480</xdr:colOff>
      <xdr:row>54</xdr:row>
      <xdr:rowOff>5040</xdr:rowOff>
    </xdr:to>
    <xdr:sp>
      <xdr:nvSpPr>
        <xdr:cNvPr id="76" name="CustomShape 1"/>
        <xdr:cNvSpPr/>
      </xdr:nvSpPr>
      <xdr:spPr>
        <a:xfrm>
          <a:off x="11482920" y="940176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Begint met een W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15</xdr:col>
      <xdr:colOff>98280</xdr:colOff>
      <xdr:row>54</xdr:row>
      <xdr:rowOff>8640</xdr:rowOff>
    </xdr:from>
    <xdr:to>
      <xdr:col>16</xdr:col>
      <xdr:colOff>518040</xdr:colOff>
      <xdr:row>58</xdr:row>
      <xdr:rowOff>136800</xdr:rowOff>
    </xdr:to>
    <xdr:sp>
      <xdr:nvSpPr>
        <xdr:cNvPr id="77" name="CustomShape 1"/>
        <xdr:cNvSpPr/>
      </xdr:nvSpPr>
      <xdr:spPr>
        <a:xfrm>
          <a:off x="11480400" y="10295640"/>
          <a:ext cx="117864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336240</xdr:colOff>
      <xdr:row>32</xdr:row>
      <xdr:rowOff>145800</xdr:rowOff>
    </xdr:from>
    <xdr:to>
      <xdr:col>18</xdr:col>
      <xdr:colOff>150840</xdr:colOff>
      <xdr:row>37</xdr:row>
      <xdr:rowOff>83520</xdr:rowOff>
    </xdr:to>
    <xdr:sp>
      <xdr:nvSpPr>
        <xdr:cNvPr id="78" name="CustomShape 1"/>
        <xdr:cNvSpPr/>
      </xdr:nvSpPr>
      <xdr:spPr>
        <a:xfrm>
          <a:off x="12477240" y="624168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336240</xdr:colOff>
      <xdr:row>37</xdr:row>
      <xdr:rowOff>100800</xdr:rowOff>
    </xdr:from>
    <xdr:to>
      <xdr:col>18</xdr:col>
      <xdr:colOff>166320</xdr:colOff>
      <xdr:row>42</xdr:row>
      <xdr:rowOff>38520</xdr:rowOff>
    </xdr:to>
    <xdr:sp>
      <xdr:nvSpPr>
        <xdr:cNvPr id="79" name="CustomShape 1"/>
        <xdr:cNvSpPr/>
      </xdr:nvSpPr>
      <xdr:spPr>
        <a:xfrm>
          <a:off x="12477240" y="714924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313920</xdr:colOff>
      <xdr:row>42</xdr:row>
      <xdr:rowOff>56160</xdr:rowOff>
    </xdr:from>
    <xdr:to>
      <xdr:col>18</xdr:col>
      <xdr:colOff>131760</xdr:colOff>
      <xdr:row>46</xdr:row>
      <xdr:rowOff>184320</xdr:rowOff>
    </xdr:to>
    <xdr:sp>
      <xdr:nvSpPr>
        <xdr:cNvPr id="80" name="CustomShape 1"/>
        <xdr:cNvSpPr/>
      </xdr:nvSpPr>
      <xdr:spPr>
        <a:xfrm>
          <a:off x="12454920" y="805716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156960</xdr:colOff>
      <xdr:row>33</xdr:row>
      <xdr:rowOff>0</xdr:rowOff>
    </xdr:from>
    <xdr:to>
      <xdr:col>20</xdr:col>
      <xdr:colOff>579960</xdr:colOff>
      <xdr:row>37</xdr:row>
      <xdr:rowOff>128160</xdr:rowOff>
    </xdr:to>
    <xdr:sp>
      <xdr:nvSpPr>
        <xdr:cNvPr id="81" name="CustomShape 1"/>
        <xdr:cNvSpPr/>
      </xdr:nvSpPr>
      <xdr:spPr>
        <a:xfrm>
          <a:off x="14574600" y="6286320"/>
          <a:ext cx="11815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145800</xdr:colOff>
      <xdr:row>37</xdr:row>
      <xdr:rowOff>134640</xdr:rowOff>
    </xdr:from>
    <xdr:to>
      <xdr:col>20</xdr:col>
      <xdr:colOff>581040</xdr:colOff>
      <xdr:row>42</xdr:row>
      <xdr:rowOff>72360</xdr:rowOff>
    </xdr:to>
    <xdr:sp>
      <xdr:nvSpPr>
        <xdr:cNvPr id="82" name="CustomShape 1"/>
        <xdr:cNvSpPr/>
      </xdr:nvSpPr>
      <xdr:spPr>
        <a:xfrm>
          <a:off x="14563440" y="7183080"/>
          <a:ext cx="11937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156960</xdr:colOff>
      <xdr:row>42</xdr:row>
      <xdr:rowOff>89640</xdr:rowOff>
    </xdr:from>
    <xdr:to>
      <xdr:col>20</xdr:col>
      <xdr:colOff>579960</xdr:colOff>
      <xdr:row>47</xdr:row>
      <xdr:rowOff>27360</xdr:rowOff>
    </xdr:to>
    <xdr:sp>
      <xdr:nvSpPr>
        <xdr:cNvPr id="83" name="CustomShape 1"/>
        <xdr:cNvSpPr/>
      </xdr:nvSpPr>
      <xdr:spPr>
        <a:xfrm>
          <a:off x="14574600" y="8090640"/>
          <a:ext cx="118152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145800</xdr:colOff>
      <xdr:row>47</xdr:row>
      <xdr:rowOff>33480</xdr:rowOff>
    </xdr:from>
    <xdr:to>
      <xdr:col>20</xdr:col>
      <xdr:colOff>581040</xdr:colOff>
      <xdr:row>51</xdr:row>
      <xdr:rowOff>161640</xdr:rowOff>
    </xdr:to>
    <xdr:sp>
      <xdr:nvSpPr>
        <xdr:cNvPr id="84" name="CustomShape 1"/>
        <xdr:cNvSpPr/>
      </xdr:nvSpPr>
      <xdr:spPr>
        <a:xfrm>
          <a:off x="14563440" y="8986680"/>
          <a:ext cx="11937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134640</xdr:colOff>
      <xdr:row>51</xdr:row>
      <xdr:rowOff>179280</xdr:rowOff>
    </xdr:from>
    <xdr:to>
      <xdr:col>20</xdr:col>
      <xdr:colOff>557640</xdr:colOff>
      <xdr:row>56</xdr:row>
      <xdr:rowOff>117000</xdr:rowOff>
    </xdr:to>
    <xdr:sp>
      <xdr:nvSpPr>
        <xdr:cNvPr id="85" name="CustomShape 1"/>
        <xdr:cNvSpPr/>
      </xdr:nvSpPr>
      <xdr:spPr>
        <a:xfrm>
          <a:off x="14552280" y="9894600"/>
          <a:ext cx="11815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123120</xdr:colOff>
      <xdr:row>56</xdr:row>
      <xdr:rowOff>123120</xdr:rowOff>
    </xdr:from>
    <xdr:to>
      <xdr:col>20</xdr:col>
      <xdr:colOff>558360</xdr:colOff>
      <xdr:row>61</xdr:row>
      <xdr:rowOff>60840</xdr:rowOff>
    </xdr:to>
    <xdr:sp>
      <xdr:nvSpPr>
        <xdr:cNvPr id="86" name="CustomShape 1"/>
        <xdr:cNvSpPr/>
      </xdr:nvSpPr>
      <xdr:spPr>
        <a:xfrm>
          <a:off x="14540760" y="10791000"/>
          <a:ext cx="11937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582840</xdr:colOff>
      <xdr:row>33</xdr:row>
      <xdr:rowOff>0</xdr:rowOff>
    </xdr:from>
    <xdr:to>
      <xdr:col>23</xdr:col>
      <xdr:colOff>400680</xdr:colOff>
      <xdr:row>37</xdr:row>
      <xdr:rowOff>128160</xdr:rowOff>
    </xdr:to>
    <xdr:sp>
      <xdr:nvSpPr>
        <xdr:cNvPr id="87" name="CustomShape 1"/>
        <xdr:cNvSpPr/>
      </xdr:nvSpPr>
      <xdr:spPr>
        <a:xfrm>
          <a:off x="16517880" y="628632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560160</xdr:colOff>
      <xdr:row>37</xdr:row>
      <xdr:rowOff>145800</xdr:rowOff>
    </xdr:from>
    <xdr:to>
      <xdr:col>23</xdr:col>
      <xdr:colOff>390240</xdr:colOff>
      <xdr:row>42</xdr:row>
      <xdr:rowOff>83520</xdr:rowOff>
    </xdr:to>
    <xdr:sp>
      <xdr:nvSpPr>
        <xdr:cNvPr id="88" name="CustomShape 1"/>
        <xdr:cNvSpPr/>
      </xdr:nvSpPr>
      <xdr:spPr>
        <a:xfrm>
          <a:off x="16495200" y="719424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571680</xdr:colOff>
      <xdr:row>42</xdr:row>
      <xdr:rowOff>100800</xdr:rowOff>
    </xdr:from>
    <xdr:to>
      <xdr:col>23</xdr:col>
      <xdr:colOff>389520</xdr:colOff>
      <xdr:row>47</xdr:row>
      <xdr:rowOff>38520</xdr:rowOff>
    </xdr:to>
    <xdr:sp>
      <xdr:nvSpPr>
        <xdr:cNvPr id="89" name="CustomShape 1"/>
        <xdr:cNvSpPr/>
      </xdr:nvSpPr>
      <xdr:spPr>
        <a:xfrm>
          <a:off x="16506720" y="810180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560160</xdr:colOff>
      <xdr:row>47</xdr:row>
      <xdr:rowOff>45000</xdr:rowOff>
    </xdr:from>
    <xdr:to>
      <xdr:col>23</xdr:col>
      <xdr:colOff>390240</xdr:colOff>
      <xdr:row>51</xdr:row>
      <xdr:rowOff>173160</xdr:rowOff>
    </xdr:to>
    <xdr:sp>
      <xdr:nvSpPr>
        <xdr:cNvPr id="90" name="CustomShape 1"/>
        <xdr:cNvSpPr/>
      </xdr:nvSpPr>
      <xdr:spPr>
        <a:xfrm>
          <a:off x="16495200" y="899820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549000</xdr:colOff>
      <xdr:row>52</xdr:row>
      <xdr:rowOff>0</xdr:rowOff>
    </xdr:from>
    <xdr:to>
      <xdr:col>23</xdr:col>
      <xdr:colOff>366840</xdr:colOff>
      <xdr:row>56</xdr:row>
      <xdr:rowOff>128160</xdr:rowOff>
    </xdr:to>
    <xdr:sp>
      <xdr:nvSpPr>
        <xdr:cNvPr id="91" name="CustomShape 1"/>
        <xdr:cNvSpPr/>
      </xdr:nvSpPr>
      <xdr:spPr>
        <a:xfrm>
          <a:off x="16484040" y="990576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537840</xdr:colOff>
      <xdr:row>56</xdr:row>
      <xdr:rowOff>134640</xdr:rowOff>
    </xdr:from>
    <xdr:to>
      <xdr:col>23</xdr:col>
      <xdr:colOff>367920</xdr:colOff>
      <xdr:row>61</xdr:row>
      <xdr:rowOff>72360</xdr:rowOff>
    </xdr:to>
    <xdr:sp>
      <xdr:nvSpPr>
        <xdr:cNvPr id="92" name="CustomShape 1"/>
        <xdr:cNvSpPr/>
      </xdr:nvSpPr>
      <xdr:spPr>
        <a:xfrm>
          <a:off x="16472880" y="1080252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12</xdr:col>
      <xdr:colOff>285840</xdr:colOff>
      <xdr:row>44</xdr:row>
      <xdr:rowOff>122400</xdr:rowOff>
    </xdr:from>
    <xdr:to>
      <xdr:col>14</xdr:col>
      <xdr:colOff>101160</xdr:colOff>
      <xdr:row>49</xdr:row>
      <xdr:rowOff>60120</xdr:rowOff>
    </xdr:to>
    <xdr:sp>
      <xdr:nvSpPr>
        <xdr:cNvPr id="93" name="CustomShape 1"/>
        <xdr:cNvSpPr/>
      </xdr:nvSpPr>
      <xdr:spPr>
        <a:xfrm>
          <a:off x="9391680" y="8504280"/>
          <a:ext cx="13327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12</xdr:col>
      <xdr:colOff>272160</xdr:colOff>
      <xdr:row>49</xdr:row>
      <xdr:rowOff>40680</xdr:rowOff>
    </xdr:from>
    <xdr:to>
      <xdr:col>14</xdr:col>
      <xdr:colOff>87480</xdr:colOff>
      <xdr:row>53</xdr:row>
      <xdr:rowOff>168840</xdr:rowOff>
    </xdr:to>
    <xdr:sp>
      <xdr:nvSpPr>
        <xdr:cNvPr id="94" name="CustomShape 1"/>
        <xdr:cNvSpPr/>
      </xdr:nvSpPr>
      <xdr:spPr>
        <a:xfrm>
          <a:off x="9378000" y="9375120"/>
          <a:ext cx="133272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503640</xdr:colOff>
      <xdr:row>47</xdr:row>
      <xdr:rowOff>0</xdr:rowOff>
    </xdr:from>
    <xdr:to>
      <xdr:col>15</xdr:col>
      <xdr:colOff>321480</xdr:colOff>
      <xdr:row>51</xdr:row>
      <xdr:rowOff>128160</xdr:rowOff>
    </xdr:to>
    <xdr:sp>
      <xdr:nvSpPr>
        <xdr:cNvPr id="95" name="CustomShape 1"/>
        <xdr:cNvSpPr/>
      </xdr:nvSpPr>
      <xdr:spPr>
        <a:xfrm>
          <a:off x="10368360" y="8953200"/>
          <a:ext cx="13352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11</xdr:col>
      <xdr:colOff>54360</xdr:colOff>
      <xdr:row>51</xdr:row>
      <xdr:rowOff>108720</xdr:rowOff>
    </xdr:from>
    <xdr:to>
      <xdr:col>12</xdr:col>
      <xdr:colOff>489600</xdr:colOff>
      <xdr:row>56</xdr:row>
      <xdr:rowOff>46440</xdr:rowOff>
    </xdr:to>
    <xdr:sp>
      <xdr:nvSpPr>
        <xdr:cNvPr id="96" name="CustomShape 1"/>
        <xdr:cNvSpPr/>
      </xdr:nvSpPr>
      <xdr:spPr>
        <a:xfrm>
          <a:off x="8401320" y="9824040"/>
          <a:ext cx="11941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480240</xdr:colOff>
      <xdr:row>51</xdr:row>
      <xdr:rowOff>127440</xdr:rowOff>
    </xdr:from>
    <xdr:to>
      <xdr:col>15</xdr:col>
      <xdr:colOff>310320</xdr:colOff>
      <xdr:row>56</xdr:row>
      <xdr:rowOff>65160</xdr:rowOff>
    </xdr:to>
    <xdr:sp>
      <xdr:nvSpPr>
        <xdr:cNvPr id="97" name="CustomShape 1"/>
        <xdr:cNvSpPr/>
      </xdr:nvSpPr>
      <xdr:spPr>
        <a:xfrm>
          <a:off x="10344960" y="9842760"/>
          <a:ext cx="13474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12</xdr:col>
      <xdr:colOff>272160</xdr:colOff>
      <xdr:row>53</xdr:row>
      <xdr:rowOff>163440</xdr:rowOff>
    </xdr:from>
    <xdr:to>
      <xdr:col>14</xdr:col>
      <xdr:colOff>87480</xdr:colOff>
      <xdr:row>58</xdr:row>
      <xdr:rowOff>101160</xdr:rowOff>
    </xdr:to>
    <xdr:sp>
      <xdr:nvSpPr>
        <xdr:cNvPr id="98" name="CustomShape 1"/>
        <xdr:cNvSpPr/>
      </xdr:nvSpPr>
      <xdr:spPr>
        <a:xfrm>
          <a:off x="9378000" y="10259640"/>
          <a:ext cx="13327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11</xdr:col>
      <xdr:colOff>68040</xdr:colOff>
      <xdr:row>56</xdr:row>
      <xdr:rowOff>54360</xdr:rowOff>
    </xdr:from>
    <xdr:to>
      <xdr:col>12</xdr:col>
      <xdr:colOff>495720</xdr:colOff>
      <xdr:row>60</xdr:row>
      <xdr:rowOff>182520</xdr:rowOff>
    </xdr:to>
    <xdr:sp>
      <xdr:nvSpPr>
        <xdr:cNvPr id="99" name="CustomShape 1"/>
        <xdr:cNvSpPr/>
      </xdr:nvSpPr>
      <xdr:spPr>
        <a:xfrm>
          <a:off x="8415000" y="1072224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12</xdr:col>
      <xdr:colOff>244800</xdr:colOff>
      <xdr:row>58</xdr:row>
      <xdr:rowOff>95400</xdr:rowOff>
    </xdr:from>
    <xdr:to>
      <xdr:col>14</xdr:col>
      <xdr:colOff>74880</xdr:colOff>
      <xdr:row>63</xdr:row>
      <xdr:rowOff>33120</xdr:rowOff>
    </xdr:to>
    <xdr:sp>
      <xdr:nvSpPr>
        <xdr:cNvPr id="100" name="CustomShape 1"/>
        <xdr:cNvSpPr/>
      </xdr:nvSpPr>
      <xdr:spPr>
        <a:xfrm>
          <a:off x="9350640" y="11144160"/>
          <a:ext cx="13474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476280</xdr:colOff>
      <xdr:row>56</xdr:row>
      <xdr:rowOff>81720</xdr:rowOff>
    </xdr:from>
    <xdr:to>
      <xdr:col>15</xdr:col>
      <xdr:colOff>294120</xdr:colOff>
      <xdr:row>61</xdr:row>
      <xdr:rowOff>19440</xdr:rowOff>
    </xdr:to>
    <xdr:sp>
      <xdr:nvSpPr>
        <xdr:cNvPr id="101" name="CustomShape 1"/>
        <xdr:cNvSpPr/>
      </xdr:nvSpPr>
      <xdr:spPr>
        <a:xfrm>
          <a:off x="10341000" y="10749600"/>
          <a:ext cx="13352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307440</xdr:colOff>
      <xdr:row>47</xdr:row>
      <xdr:rowOff>17640</xdr:rowOff>
    </xdr:from>
    <xdr:to>
      <xdr:col>18</xdr:col>
      <xdr:colOff>137520</xdr:colOff>
      <xdr:row>51</xdr:row>
      <xdr:rowOff>145800</xdr:rowOff>
    </xdr:to>
    <xdr:sp>
      <xdr:nvSpPr>
        <xdr:cNvPr id="102" name="CustomShape 1"/>
        <xdr:cNvSpPr/>
      </xdr:nvSpPr>
      <xdr:spPr>
        <a:xfrm>
          <a:off x="12448440" y="897084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317880</xdr:colOff>
      <xdr:row>51</xdr:row>
      <xdr:rowOff>163440</xdr:rowOff>
    </xdr:from>
    <xdr:to>
      <xdr:col>18</xdr:col>
      <xdr:colOff>135720</xdr:colOff>
      <xdr:row>56</xdr:row>
      <xdr:rowOff>101160</xdr:rowOff>
    </xdr:to>
    <xdr:sp>
      <xdr:nvSpPr>
        <xdr:cNvPr id="103" name="CustomShape 1"/>
        <xdr:cNvSpPr/>
      </xdr:nvSpPr>
      <xdr:spPr>
        <a:xfrm>
          <a:off x="12458880" y="987876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294480</xdr:colOff>
      <xdr:row>56</xdr:row>
      <xdr:rowOff>100080</xdr:rowOff>
    </xdr:from>
    <xdr:to>
      <xdr:col>18</xdr:col>
      <xdr:colOff>124560</xdr:colOff>
      <xdr:row>61</xdr:row>
      <xdr:rowOff>37800</xdr:rowOff>
    </xdr:to>
    <xdr:sp>
      <xdr:nvSpPr>
        <xdr:cNvPr id="104" name="CustomShape 1"/>
        <xdr:cNvSpPr/>
      </xdr:nvSpPr>
      <xdr:spPr>
        <a:xfrm>
          <a:off x="12435480" y="1076796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16</xdr:col>
      <xdr:colOff>290520</xdr:colOff>
      <xdr:row>61</xdr:row>
      <xdr:rowOff>54360</xdr:rowOff>
    </xdr:from>
    <xdr:to>
      <xdr:col>18</xdr:col>
      <xdr:colOff>108360</xdr:colOff>
      <xdr:row>65</xdr:row>
      <xdr:rowOff>182520</xdr:rowOff>
    </xdr:to>
    <xdr:sp>
      <xdr:nvSpPr>
        <xdr:cNvPr id="105" name="CustomShape 1"/>
        <xdr:cNvSpPr/>
      </xdr:nvSpPr>
      <xdr:spPr>
        <a:xfrm>
          <a:off x="12431520" y="1167480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15</xdr:col>
      <xdr:colOff>95400</xdr:colOff>
      <xdr:row>58</xdr:row>
      <xdr:rowOff>149760</xdr:rowOff>
    </xdr:from>
    <xdr:to>
      <xdr:col>16</xdr:col>
      <xdr:colOff>523080</xdr:colOff>
      <xdr:row>63</xdr:row>
      <xdr:rowOff>87480</xdr:rowOff>
    </xdr:to>
    <xdr:sp>
      <xdr:nvSpPr>
        <xdr:cNvPr id="106" name="CustomShape 1"/>
        <xdr:cNvSpPr/>
      </xdr:nvSpPr>
      <xdr:spPr>
        <a:xfrm>
          <a:off x="11477520" y="1119852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Tilburg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15</xdr:col>
      <xdr:colOff>68040</xdr:colOff>
      <xdr:row>63</xdr:row>
      <xdr:rowOff>81720</xdr:rowOff>
    </xdr:from>
    <xdr:to>
      <xdr:col>16</xdr:col>
      <xdr:colOff>510480</xdr:colOff>
      <xdr:row>68</xdr:row>
      <xdr:rowOff>19440</xdr:rowOff>
    </xdr:to>
    <xdr:sp>
      <xdr:nvSpPr>
        <xdr:cNvPr id="107" name="CustomShape 1"/>
        <xdr:cNvSpPr/>
      </xdr:nvSpPr>
      <xdr:spPr>
        <a:xfrm>
          <a:off x="11450160" y="12083040"/>
          <a:ext cx="12013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13</xdr:col>
      <xdr:colOff>476280</xdr:colOff>
      <xdr:row>61</xdr:row>
      <xdr:rowOff>13680</xdr:rowOff>
    </xdr:from>
    <xdr:to>
      <xdr:col>15</xdr:col>
      <xdr:colOff>291600</xdr:colOff>
      <xdr:row>65</xdr:row>
      <xdr:rowOff>141840</xdr:rowOff>
    </xdr:to>
    <xdr:sp>
      <xdr:nvSpPr>
        <xdr:cNvPr id="108" name="CustomShape 1"/>
        <xdr:cNvSpPr/>
      </xdr:nvSpPr>
      <xdr:spPr>
        <a:xfrm>
          <a:off x="10341000" y="11634120"/>
          <a:ext cx="133272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1" lang="en-US" sz="1200" spc="-1" strike="noStrike">
              <a:solidFill>
                <a:srgbClr val="000000"/>
              </a:solidFill>
              <a:latin typeface="Calibri"/>
            </a:rPr>
            <a:t>Bartels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17</xdr:col>
      <xdr:colOff>501120</xdr:colOff>
      <xdr:row>58</xdr:row>
      <xdr:rowOff>176760</xdr:rowOff>
    </xdr:from>
    <xdr:to>
      <xdr:col>19</xdr:col>
      <xdr:colOff>315720</xdr:colOff>
      <xdr:row>63</xdr:row>
      <xdr:rowOff>114480</xdr:rowOff>
    </xdr:to>
    <xdr:sp>
      <xdr:nvSpPr>
        <xdr:cNvPr id="109" name="CustomShape 1"/>
        <xdr:cNvSpPr/>
      </xdr:nvSpPr>
      <xdr:spPr>
        <a:xfrm>
          <a:off x="13401000" y="1122552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489960</xdr:colOff>
      <xdr:row>63</xdr:row>
      <xdr:rowOff>120960</xdr:rowOff>
    </xdr:from>
    <xdr:to>
      <xdr:col>19</xdr:col>
      <xdr:colOff>312480</xdr:colOff>
      <xdr:row>68</xdr:row>
      <xdr:rowOff>58680</xdr:rowOff>
    </xdr:to>
    <xdr:sp>
      <xdr:nvSpPr>
        <xdr:cNvPr id="110" name="CustomShape 1"/>
        <xdr:cNvSpPr/>
      </xdr:nvSpPr>
      <xdr:spPr>
        <a:xfrm>
          <a:off x="13389840" y="1212228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Water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16</xdr:col>
      <xdr:colOff>285840</xdr:colOff>
      <xdr:row>65</xdr:row>
      <xdr:rowOff>163440</xdr:rowOff>
    </xdr:from>
    <xdr:to>
      <xdr:col>18</xdr:col>
      <xdr:colOff>100440</xdr:colOff>
      <xdr:row>70</xdr:row>
      <xdr:rowOff>101160</xdr:rowOff>
    </xdr:to>
    <xdr:sp>
      <xdr:nvSpPr>
        <xdr:cNvPr id="111" name="CustomShape 1"/>
        <xdr:cNvSpPr/>
      </xdr:nvSpPr>
      <xdr:spPr>
        <a:xfrm>
          <a:off x="12426840" y="1254564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17</xdr:col>
      <xdr:colOff>489960</xdr:colOff>
      <xdr:row>68</xdr:row>
      <xdr:rowOff>68040</xdr:rowOff>
    </xdr:from>
    <xdr:to>
      <xdr:col>19</xdr:col>
      <xdr:colOff>307800</xdr:colOff>
      <xdr:row>73</xdr:row>
      <xdr:rowOff>5760</xdr:rowOff>
    </xdr:to>
    <xdr:sp>
      <xdr:nvSpPr>
        <xdr:cNvPr id="112" name="CustomShape 1"/>
        <xdr:cNvSpPr/>
      </xdr:nvSpPr>
      <xdr:spPr>
        <a:xfrm>
          <a:off x="13389840" y="1302192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Bergsche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Maas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19</xdr:col>
      <xdr:colOff>106560</xdr:colOff>
      <xdr:row>61</xdr:row>
      <xdr:rowOff>54360</xdr:rowOff>
    </xdr:from>
    <xdr:to>
      <xdr:col>20</xdr:col>
      <xdr:colOff>529560</xdr:colOff>
      <xdr:row>65</xdr:row>
      <xdr:rowOff>182520</xdr:rowOff>
    </xdr:to>
    <xdr:sp>
      <xdr:nvSpPr>
        <xdr:cNvPr id="113" name="CustomShape 1"/>
        <xdr:cNvSpPr/>
      </xdr:nvSpPr>
      <xdr:spPr>
        <a:xfrm>
          <a:off x="14524200" y="11674800"/>
          <a:ext cx="118152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95400</xdr:colOff>
      <xdr:row>65</xdr:row>
      <xdr:rowOff>189000</xdr:rowOff>
    </xdr:from>
    <xdr:to>
      <xdr:col>20</xdr:col>
      <xdr:colOff>530640</xdr:colOff>
      <xdr:row>70</xdr:row>
      <xdr:rowOff>126720</xdr:rowOff>
    </xdr:to>
    <xdr:sp>
      <xdr:nvSpPr>
        <xdr:cNvPr id="114" name="CustomShape 1"/>
        <xdr:cNvSpPr/>
      </xdr:nvSpPr>
      <xdr:spPr>
        <a:xfrm>
          <a:off x="14513040" y="12571200"/>
          <a:ext cx="11937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324000</xdr:colOff>
      <xdr:row>54</xdr:row>
      <xdr:rowOff>68040</xdr:rowOff>
    </xdr:from>
    <xdr:to>
      <xdr:col>22</xdr:col>
      <xdr:colOff>138600</xdr:colOff>
      <xdr:row>59</xdr:row>
      <xdr:rowOff>5760</xdr:rowOff>
    </xdr:to>
    <xdr:sp>
      <xdr:nvSpPr>
        <xdr:cNvPr id="115" name="CustomShape 1"/>
        <xdr:cNvSpPr/>
      </xdr:nvSpPr>
      <xdr:spPr>
        <a:xfrm>
          <a:off x="15500160" y="10355040"/>
          <a:ext cx="133236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312840</xdr:colOff>
      <xdr:row>59</xdr:row>
      <xdr:rowOff>11880</xdr:rowOff>
    </xdr:from>
    <xdr:to>
      <xdr:col>22</xdr:col>
      <xdr:colOff>135360</xdr:colOff>
      <xdr:row>63</xdr:row>
      <xdr:rowOff>140040</xdr:rowOff>
    </xdr:to>
    <xdr:sp>
      <xdr:nvSpPr>
        <xdr:cNvPr id="116" name="CustomShape 1"/>
        <xdr:cNvSpPr/>
      </xdr:nvSpPr>
      <xdr:spPr>
        <a:xfrm>
          <a:off x="15489000" y="1125108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324000</xdr:colOff>
      <xdr:row>63</xdr:row>
      <xdr:rowOff>157680</xdr:rowOff>
    </xdr:from>
    <xdr:to>
      <xdr:col>22</xdr:col>
      <xdr:colOff>138600</xdr:colOff>
      <xdr:row>68</xdr:row>
      <xdr:rowOff>95400</xdr:rowOff>
    </xdr:to>
    <xdr:sp>
      <xdr:nvSpPr>
        <xdr:cNvPr id="117" name="CustomShape 1"/>
        <xdr:cNvSpPr/>
      </xdr:nvSpPr>
      <xdr:spPr>
        <a:xfrm>
          <a:off x="15500160" y="1215900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312840</xdr:colOff>
      <xdr:row>68</xdr:row>
      <xdr:rowOff>101520</xdr:rowOff>
    </xdr:from>
    <xdr:to>
      <xdr:col>22</xdr:col>
      <xdr:colOff>135360</xdr:colOff>
      <xdr:row>73</xdr:row>
      <xdr:rowOff>39240</xdr:rowOff>
    </xdr:to>
    <xdr:sp>
      <xdr:nvSpPr>
        <xdr:cNvPr id="118" name="CustomShape 1"/>
        <xdr:cNvSpPr/>
      </xdr:nvSpPr>
      <xdr:spPr>
        <a:xfrm>
          <a:off x="15489000" y="1305540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19</xdr:col>
      <xdr:colOff>95400</xdr:colOff>
      <xdr:row>70</xdr:row>
      <xdr:rowOff>136080</xdr:rowOff>
    </xdr:from>
    <xdr:to>
      <xdr:col>20</xdr:col>
      <xdr:colOff>522360</xdr:colOff>
      <xdr:row>75</xdr:row>
      <xdr:rowOff>73800</xdr:rowOff>
    </xdr:to>
    <xdr:sp>
      <xdr:nvSpPr>
        <xdr:cNvPr id="119" name="CustomShape 1"/>
        <xdr:cNvSpPr/>
      </xdr:nvSpPr>
      <xdr:spPr>
        <a:xfrm>
          <a:off x="14513040" y="13470840"/>
          <a:ext cx="11854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20</xdr:col>
      <xdr:colOff>299520</xdr:colOff>
      <xdr:row>73</xdr:row>
      <xdr:rowOff>40680</xdr:rowOff>
    </xdr:from>
    <xdr:to>
      <xdr:col>22</xdr:col>
      <xdr:colOff>117360</xdr:colOff>
      <xdr:row>77</xdr:row>
      <xdr:rowOff>168840</xdr:rowOff>
    </xdr:to>
    <xdr:sp>
      <xdr:nvSpPr>
        <xdr:cNvPr id="120" name="CustomShape 1"/>
        <xdr:cNvSpPr/>
      </xdr:nvSpPr>
      <xdr:spPr>
        <a:xfrm>
          <a:off x="15475680" y="1394712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528120</xdr:colOff>
      <xdr:row>61</xdr:row>
      <xdr:rowOff>95400</xdr:rowOff>
    </xdr:from>
    <xdr:to>
      <xdr:col>23</xdr:col>
      <xdr:colOff>345960</xdr:colOff>
      <xdr:row>66</xdr:row>
      <xdr:rowOff>33120</xdr:rowOff>
    </xdr:to>
    <xdr:sp>
      <xdr:nvSpPr>
        <xdr:cNvPr id="121" name="CustomShape 1"/>
        <xdr:cNvSpPr/>
      </xdr:nvSpPr>
      <xdr:spPr>
        <a:xfrm>
          <a:off x="16463160" y="1171584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516960</xdr:colOff>
      <xdr:row>66</xdr:row>
      <xdr:rowOff>39240</xdr:rowOff>
    </xdr:from>
    <xdr:to>
      <xdr:col>23</xdr:col>
      <xdr:colOff>347040</xdr:colOff>
      <xdr:row>70</xdr:row>
      <xdr:rowOff>167400</xdr:rowOff>
    </xdr:to>
    <xdr:sp>
      <xdr:nvSpPr>
        <xdr:cNvPr id="122" name="CustomShape 1"/>
        <xdr:cNvSpPr/>
      </xdr:nvSpPr>
      <xdr:spPr>
        <a:xfrm>
          <a:off x="16452000" y="12612240"/>
          <a:ext cx="134784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21</xdr:col>
      <xdr:colOff>530640</xdr:colOff>
      <xdr:row>70</xdr:row>
      <xdr:rowOff>176760</xdr:rowOff>
    </xdr:from>
    <xdr:to>
      <xdr:col>23</xdr:col>
      <xdr:colOff>345240</xdr:colOff>
      <xdr:row>75</xdr:row>
      <xdr:rowOff>114480</xdr:rowOff>
    </xdr:to>
    <xdr:sp>
      <xdr:nvSpPr>
        <xdr:cNvPr id="123" name="CustomShape 1"/>
        <xdr:cNvSpPr/>
      </xdr:nvSpPr>
      <xdr:spPr>
        <a:xfrm>
          <a:off x="16465680" y="1351152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183960</xdr:colOff>
      <xdr:row>35</xdr:row>
      <xdr:rowOff>95400</xdr:rowOff>
    </xdr:from>
    <xdr:to>
      <xdr:col>25</xdr:col>
      <xdr:colOff>6480</xdr:colOff>
      <xdr:row>40</xdr:row>
      <xdr:rowOff>33120</xdr:rowOff>
    </xdr:to>
    <xdr:sp>
      <xdr:nvSpPr>
        <xdr:cNvPr id="124" name="CustomShape 1"/>
        <xdr:cNvSpPr/>
      </xdr:nvSpPr>
      <xdr:spPr>
        <a:xfrm>
          <a:off x="17636760" y="676260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Dierlijk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23</xdr:col>
      <xdr:colOff>183960</xdr:colOff>
      <xdr:row>40</xdr:row>
      <xdr:rowOff>50400</xdr:rowOff>
    </xdr:from>
    <xdr:to>
      <xdr:col>24</xdr:col>
      <xdr:colOff>610920</xdr:colOff>
      <xdr:row>44</xdr:row>
      <xdr:rowOff>178560</xdr:rowOff>
    </xdr:to>
    <xdr:sp>
      <xdr:nvSpPr>
        <xdr:cNvPr id="125" name="CustomShape 1"/>
        <xdr:cNvSpPr/>
      </xdr:nvSpPr>
      <xdr:spPr>
        <a:xfrm>
          <a:off x="17636760" y="7670160"/>
          <a:ext cx="1185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172800</xdr:colOff>
      <xdr:row>44</xdr:row>
      <xdr:rowOff>185040</xdr:rowOff>
    </xdr:from>
    <xdr:to>
      <xdr:col>24</xdr:col>
      <xdr:colOff>607680</xdr:colOff>
      <xdr:row>49</xdr:row>
      <xdr:rowOff>122760</xdr:rowOff>
    </xdr:to>
    <xdr:sp>
      <xdr:nvSpPr>
        <xdr:cNvPr id="126" name="CustomShape 1"/>
        <xdr:cNvSpPr/>
      </xdr:nvSpPr>
      <xdr:spPr>
        <a:xfrm>
          <a:off x="17625600" y="8566920"/>
          <a:ext cx="11937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183960</xdr:colOff>
      <xdr:row>49</xdr:row>
      <xdr:rowOff>140040</xdr:rowOff>
    </xdr:from>
    <xdr:to>
      <xdr:col>24</xdr:col>
      <xdr:colOff>610920</xdr:colOff>
      <xdr:row>54</xdr:row>
      <xdr:rowOff>77760</xdr:rowOff>
    </xdr:to>
    <xdr:sp>
      <xdr:nvSpPr>
        <xdr:cNvPr id="127" name="CustomShape 1"/>
        <xdr:cNvSpPr/>
      </xdr:nvSpPr>
      <xdr:spPr>
        <a:xfrm>
          <a:off x="17636760" y="9474480"/>
          <a:ext cx="1185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172800</xdr:colOff>
      <xdr:row>54</xdr:row>
      <xdr:rowOff>83880</xdr:rowOff>
    </xdr:from>
    <xdr:to>
      <xdr:col>24</xdr:col>
      <xdr:colOff>607680</xdr:colOff>
      <xdr:row>59</xdr:row>
      <xdr:rowOff>21600</xdr:rowOff>
    </xdr:to>
    <xdr:sp>
      <xdr:nvSpPr>
        <xdr:cNvPr id="128" name="CustomShape 1"/>
        <xdr:cNvSpPr/>
      </xdr:nvSpPr>
      <xdr:spPr>
        <a:xfrm>
          <a:off x="17625600" y="10370880"/>
          <a:ext cx="119376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147240</xdr:colOff>
      <xdr:row>59</xdr:row>
      <xdr:rowOff>25560</xdr:rowOff>
    </xdr:from>
    <xdr:to>
      <xdr:col>24</xdr:col>
      <xdr:colOff>574200</xdr:colOff>
      <xdr:row>63</xdr:row>
      <xdr:rowOff>153720</xdr:rowOff>
    </xdr:to>
    <xdr:sp>
      <xdr:nvSpPr>
        <xdr:cNvPr id="129" name="CustomShape 1"/>
        <xdr:cNvSpPr/>
      </xdr:nvSpPr>
      <xdr:spPr>
        <a:xfrm>
          <a:off x="17600040" y="11264760"/>
          <a:ext cx="1185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23</xdr:col>
      <xdr:colOff>136080</xdr:colOff>
      <xdr:row>63</xdr:row>
      <xdr:rowOff>160200</xdr:rowOff>
    </xdr:from>
    <xdr:to>
      <xdr:col>24</xdr:col>
      <xdr:colOff>570960</xdr:colOff>
      <xdr:row>68</xdr:row>
      <xdr:rowOff>97920</xdr:rowOff>
    </xdr:to>
    <xdr:sp>
      <xdr:nvSpPr>
        <xdr:cNvPr id="130" name="CustomShape 1"/>
        <xdr:cNvSpPr/>
      </xdr:nvSpPr>
      <xdr:spPr>
        <a:xfrm>
          <a:off x="17588880" y="12161520"/>
          <a:ext cx="119376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Met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Dubbel t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23</xdr:col>
      <xdr:colOff>136080</xdr:colOff>
      <xdr:row>68</xdr:row>
      <xdr:rowOff>107280</xdr:rowOff>
    </xdr:from>
    <xdr:to>
      <xdr:col>24</xdr:col>
      <xdr:colOff>566280</xdr:colOff>
      <xdr:row>73</xdr:row>
      <xdr:rowOff>45000</xdr:rowOff>
    </xdr:to>
    <xdr:sp>
      <xdr:nvSpPr>
        <xdr:cNvPr id="131" name="CustomShape 1"/>
        <xdr:cNvSpPr/>
      </xdr:nvSpPr>
      <xdr:spPr>
        <a:xfrm>
          <a:off x="17588880" y="13061160"/>
          <a:ext cx="11890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Zittend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Meisje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24</xdr:col>
      <xdr:colOff>404280</xdr:colOff>
      <xdr:row>33</xdr:row>
      <xdr:rowOff>0</xdr:rowOff>
    </xdr:from>
    <xdr:to>
      <xdr:col>26</xdr:col>
      <xdr:colOff>218880</xdr:colOff>
      <xdr:row>37</xdr:row>
      <xdr:rowOff>128160</xdr:rowOff>
    </xdr:to>
    <xdr:sp>
      <xdr:nvSpPr>
        <xdr:cNvPr id="132" name="CustomShape 1"/>
        <xdr:cNvSpPr/>
      </xdr:nvSpPr>
      <xdr:spPr>
        <a:xfrm>
          <a:off x="18615960" y="6286320"/>
          <a:ext cx="13323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404280</xdr:colOff>
      <xdr:row>37</xdr:row>
      <xdr:rowOff>145800</xdr:rowOff>
    </xdr:from>
    <xdr:to>
      <xdr:col>26</xdr:col>
      <xdr:colOff>234360</xdr:colOff>
      <xdr:row>42</xdr:row>
      <xdr:rowOff>83520</xdr:rowOff>
    </xdr:to>
    <xdr:sp>
      <xdr:nvSpPr>
        <xdr:cNvPr id="133" name="CustomShape 1"/>
        <xdr:cNvSpPr/>
      </xdr:nvSpPr>
      <xdr:spPr>
        <a:xfrm>
          <a:off x="18615960" y="719424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381960</xdr:colOff>
      <xdr:row>42</xdr:row>
      <xdr:rowOff>100800</xdr:rowOff>
    </xdr:from>
    <xdr:to>
      <xdr:col>26</xdr:col>
      <xdr:colOff>199800</xdr:colOff>
      <xdr:row>47</xdr:row>
      <xdr:rowOff>38520</xdr:rowOff>
    </xdr:to>
    <xdr:sp>
      <xdr:nvSpPr>
        <xdr:cNvPr id="134" name="CustomShape 1"/>
        <xdr:cNvSpPr/>
      </xdr:nvSpPr>
      <xdr:spPr>
        <a:xfrm>
          <a:off x="18593640" y="8101800"/>
          <a:ext cx="13356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375480</xdr:colOff>
      <xdr:row>47</xdr:row>
      <xdr:rowOff>62280</xdr:rowOff>
    </xdr:from>
    <xdr:to>
      <xdr:col>26</xdr:col>
      <xdr:colOff>205560</xdr:colOff>
      <xdr:row>51</xdr:row>
      <xdr:rowOff>190440</xdr:rowOff>
    </xdr:to>
    <xdr:sp>
      <xdr:nvSpPr>
        <xdr:cNvPr id="135" name="CustomShape 1"/>
        <xdr:cNvSpPr/>
      </xdr:nvSpPr>
      <xdr:spPr>
        <a:xfrm>
          <a:off x="18587160" y="901548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385920</xdr:colOff>
      <xdr:row>52</xdr:row>
      <xdr:rowOff>17640</xdr:rowOff>
    </xdr:from>
    <xdr:to>
      <xdr:col>26</xdr:col>
      <xdr:colOff>203760</xdr:colOff>
      <xdr:row>56</xdr:row>
      <xdr:rowOff>145800</xdr:rowOff>
    </xdr:to>
    <xdr:sp>
      <xdr:nvSpPr>
        <xdr:cNvPr id="136" name="CustomShape 1"/>
        <xdr:cNvSpPr/>
      </xdr:nvSpPr>
      <xdr:spPr>
        <a:xfrm>
          <a:off x="18597600" y="992340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362520</xdr:colOff>
      <xdr:row>56</xdr:row>
      <xdr:rowOff>145080</xdr:rowOff>
    </xdr:from>
    <xdr:to>
      <xdr:col>26</xdr:col>
      <xdr:colOff>192600</xdr:colOff>
      <xdr:row>61</xdr:row>
      <xdr:rowOff>82800</xdr:rowOff>
    </xdr:to>
    <xdr:sp>
      <xdr:nvSpPr>
        <xdr:cNvPr id="137" name="CustomShape 1"/>
        <xdr:cNvSpPr/>
      </xdr:nvSpPr>
      <xdr:spPr>
        <a:xfrm>
          <a:off x="18574200" y="1081296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358560</xdr:colOff>
      <xdr:row>61</xdr:row>
      <xdr:rowOff>99360</xdr:rowOff>
    </xdr:from>
    <xdr:to>
      <xdr:col>26</xdr:col>
      <xdr:colOff>176400</xdr:colOff>
      <xdr:row>66</xdr:row>
      <xdr:rowOff>37080</xdr:rowOff>
    </xdr:to>
    <xdr:sp>
      <xdr:nvSpPr>
        <xdr:cNvPr id="138" name="CustomShape 1"/>
        <xdr:cNvSpPr/>
      </xdr:nvSpPr>
      <xdr:spPr>
        <a:xfrm>
          <a:off x="18570240" y="1171980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24</xdr:col>
      <xdr:colOff>353880</xdr:colOff>
      <xdr:row>66</xdr:row>
      <xdr:rowOff>17640</xdr:rowOff>
    </xdr:from>
    <xdr:to>
      <xdr:col>26</xdr:col>
      <xdr:colOff>168480</xdr:colOff>
      <xdr:row>70</xdr:row>
      <xdr:rowOff>145800</xdr:rowOff>
    </xdr:to>
    <xdr:sp>
      <xdr:nvSpPr>
        <xdr:cNvPr id="139" name="CustomShape 1"/>
        <xdr:cNvSpPr/>
      </xdr:nvSpPr>
      <xdr:spPr>
        <a:xfrm>
          <a:off x="18565560" y="12590640"/>
          <a:ext cx="133236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26</xdr:col>
      <xdr:colOff>720</xdr:colOff>
      <xdr:row>30</xdr:row>
      <xdr:rowOff>149760</xdr:rowOff>
    </xdr:from>
    <xdr:to>
      <xdr:col>27</xdr:col>
      <xdr:colOff>428400</xdr:colOff>
      <xdr:row>35</xdr:row>
      <xdr:rowOff>87480</xdr:rowOff>
    </xdr:to>
    <xdr:sp>
      <xdr:nvSpPr>
        <xdr:cNvPr id="140" name="CustomShape 1"/>
        <xdr:cNvSpPr/>
      </xdr:nvSpPr>
      <xdr:spPr>
        <a:xfrm>
          <a:off x="19730160" y="5864760"/>
          <a:ext cx="118620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26</xdr:col>
      <xdr:colOff>720</xdr:colOff>
      <xdr:row>35</xdr:row>
      <xdr:rowOff>93600</xdr:rowOff>
    </xdr:from>
    <xdr:to>
      <xdr:col>27</xdr:col>
      <xdr:colOff>423720</xdr:colOff>
      <xdr:row>40</xdr:row>
      <xdr:rowOff>31320</xdr:rowOff>
    </xdr:to>
    <xdr:sp>
      <xdr:nvSpPr>
        <xdr:cNvPr id="141" name="CustomShape 1"/>
        <xdr:cNvSpPr/>
      </xdr:nvSpPr>
      <xdr:spPr>
        <a:xfrm>
          <a:off x="19730160" y="6760800"/>
          <a:ext cx="11815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25</xdr:col>
      <xdr:colOff>601920</xdr:colOff>
      <xdr:row>40</xdr:row>
      <xdr:rowOff>37440</xdr:rowOff>
    </xdr:from>
    <xdr:to>
      <xdr:col>27</xdr:col>
      <xdr:colOff>417240</xdr:colOff>
      <xdr:row>44</xdr:row>
      <xdr:rowOff>165600</xdr:rowOff>
    </xdr:to>
    <xdr:sp>
      <xdr:nvSpPr>
        <xdr:cNvPr id="142" name="CustomShape 1"/>
        <xdr:cNvSpPr/>
      </xdr:nvSpPr>
      <xdr:spPr>
        <a:xfrm>
          <a:off x="19572480" y="7657200"/>
          <a:ext cx="13327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25</xdr:col>
      <xdr:colOff>601920</xdr:colOff>
      <xdr:row>44</xdr:row>
      <xdr:rowOff>183240</xdr:rowOff>
    </xdr:from>
    <xdr:to>
      <xdr:col>27</xdr:col>
      <xdr:colOff>409320</xdr:colOff>
      <xdr:row>49</xdr:row>
      <xdr:rowOff>120960</xdr:rowOff>
    </xdr:to>
    <xdr:sp>
      <xdr:nvSpPr>
        <xdr:cNvPr id="143" name="CustomShape 1"/>
        <xdr:cNvSpPr/>
      </xdr:nvSpPr>
      <xdr:spPr>
        <a:xfrm>
          <a:off x="19572480" y="8565120"/>
          <a:ext cx="132480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25</xdr:col>
      <xdr:colOff>590760</xdr:colOff>
      <xdr:row>49</xdr:row>
      <xdr:rowOff>127440</xdr:rowOff>
    </xdr:from>
    <xdr:to>
      <xdr:col>27</xdr:col>
      <xdr:colOff>406080</xdr:colOff>
      <xdr:row>54</xdr:row>
      <xdr:rowOff>65160</xdr:rowOff>
    </xdr:to>
    <xdr:sp>
      <xdr:nvSpPr>
        <xdr:cNvPr id="144" name="CustomShape 1"/>
        <xdr:cNvSpPr/>
      </xdr:nvSpPr>
      <xdr:spPr>
        <a:xfrm>
          <a:off x="19561320" y="9461880"/>
          <a:ext cx="13327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West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Brabant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25</xdr:col>
      <xdr:colOff>588240</xdr:colOff>
      <xdr:row>54</xdr:row>
      <xdr:rowOff>68760</xdr:rowOff>
    </xdr:from>
    <xdr:to>
      <xdr:col>27</xdr:col>
      <xdr:colOff>395640</xdr:colOff>
      <xdr:row>59</xdr:row>
      <xdr:rowOff>6480</xdr:rowOff>
    </xdr:to>
    <xdr:sp>
      <xdr:nvSpPr>
        <xdr:cNvPr id="145" name="CustomShape 1"/>
        <xdr:cNvSpPr/>
      </xdr:nvSpPr>
      <xdr:spPr>
        <a:xfrm>
          <a:off x="19558800" y="10355760"/>
          <a:ext cx="132480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25</xdr:col>
      <xdr:colOff>585000</xdr:colOff>
      <xdr:row>59</xdr:row>
      <xdr:rowOff>19080</xdr:rowOff>
    </xdr:from>
    <xdr:to>
      <xdr:col>27</xdr:col>
      <xdr:colOff>400320</xdr:colOff>
      <xdr:row>63</xdr:row>
      <xdr:rowOff>147240</xdr:rowOff>
    </xdr:to>
    <xdr:sp>
      <xdr:nvSpPr>
        <xdr:cNvPr id="146" name="CustomShape 1"/>
        <xdr:cNvSpPr/>
      </xdr:nvSpPr>
      <xdr:spPr>
        <a:xfrm>
          <a:off x="19555560" y="11258280"/>
          <a:ext cx="13327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3x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dezelfde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letter</a:t>
          </a: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25</xdr:col>
      <xdr:colOff>558000</xdr:colOff>
      <xdr:row>63</xdr:row>
      <xdr:rowOff>141840</xdr:rowOff>
    </xdr:from>
    <xdr:to>
      <xdr:col>27</xdr:col>
      <xdr:colOff>388080</xdr:colOff>
      <xdr:row>68</xdr:row>
      <xdr:rowOff>79560</xdr:rowOff>
    </xdr:to>
    <xdr:sp>
      <xdr:nvSpPr>
        <xdr:cNvPr id="147" name="CustomShape 1"/>
        <xdr:cNvSpPr/>
      </xdr:nvSpPr>
      <xdr:spPr>
        <a:xfrm>
          <a:off x="19528560" y="12143160"/>
          <a:ext cx="13474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202680</xdr:colOff>
      <xdr:row>28</xdr:row>
      <xdr:rowOff>54360</xdr:rowOff>
    </xdr:from>
    <xdr:to>
      <xdr:col>29</xdr:col>
      <xdr:colOff>20520</xdr:colOff>
      <xdr:row>32</xdr:row>
      <xdr:rowOff>182520</xdr:rowOff>
    </xdr:to>
    <xdr:sp>
      <xdr:nvSpPr>
        <xdr:cNvPr id="148" name="CustomShape 1"/>
        <xdr:cNvSpPr/>
      </xdr:nvSpPr>
      <xdr:spPr>
        <a:xfrm>
          <a:off x="20690640" y="538812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180000</xdr:colOff>
      <xdr:row>42</xdr:row>
      <xdr:rowOff>76680</xdr:rowOff>
    </xdr:from>
    <xdr:to>
      <xdr:col>29</xdr:col>
      <xdr:colOff>10080</xdr:colOff>
      <xdr:row>47</xdr:row>
      <xdr:rowOff>14400</xdr:rowOff>
    </xdr:to>
    <xdr:sp>
      <xdr:nvSpPr>
        <xdr:cNvPr id="149" name="CustomShape 1"/>
        <xdr:cNvSpPr/>
      </xdr:nvSpPr>
      <xdr:spPr>
        <a:xfrm>
          <a:off x="20667960" y="8077680"/>
          <a:ext cx="134784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191160</xdr:colOff>
      <xdr:row>32</xdr:row>
      <xdr:rowOff>177840</xdr:rowOff>
    </xdr:from>
    <xdr:to>
      <xdr:col>29</xdr:col>
      <xdr:colOff>21240</xdr:colOff>
      <xdr:row>37</xdr:row>
      <xdr:rowOff>115560</xdr:rowOff>
    </xdr:to>
    <xdr:sp>
      <xdr:nvSpPr>
        <xdr:cNvPr id="150" name="CustomShape 1"/>
        <xdr:cNvSpPr/>
      </xdr:nvSpPr>
      <xdr:spPr>
        <a:xfrm>
          <a:off x="20679120" y="627372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202680</xdr:colOff>
      <xdr:row>37</xdr:row>
      <xdr:rowOff>132840</xdr:rowOff>
    </xdr:from>
    <xdr:to>
      <xdr:col>29</xdr:col>
      <xdr:colOff>25200</xdr:colOff>
      <xdr:row>42</xdr:row>
      <xdr:rowOff>70560</xdr:rowOff>
    </xdr:to>
    <xdr:sp>
      <xdr:nvSpPr>
        <xdr:cNvPr id="151" name="CustomShape 1"/>
        <xdr:cNvSpPr/>
      </xdr:nvSpPr>
      <xdr:spPr>
        <a:xfrm>
          <a:off x="20690640" y="718128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190440</xdr:colOff>
      <xdr:row>47</xdr:row>
      <xdr:rowOff>32040</xdr:rowOff>
    </xdr:from>
    <xdr:to>
      <xdr:col>29</xdr:col>
      <xdr:colOff>8280</xdr:colOff>
      <xdr:row>51</xdr:row>
      <xdr:rowOff>160200</xdr:rowOff>
    </xdr:to>
    <xdr:sp>
      <xdr:nvSpPr>
        <xdr:cNvPr id="152" name="CustomShape 1"/>
        <xdr:cNvSpPr/>
      </xdr:nvSpPr>
      <xdr:spPr>
        <a:xfrm>
          <a:off x="20678400" y="898524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167400</xdr:colOff>
      <xdr:row>51</xdr:row>
      <xdr:rowOff>159480</xdr:rowOff>
    </xdr:from>
    <xdr:to>
      <xdr:col>28</xdr:col>
      <xdr:colOff>609840</xdr:colOff>
      <xdr:row>56</xdr:row>
      <xdr:rowOff>97200</xdr:rowOff>
    </xdr:to>
    <xdr:sp>
      <xdr:nvSpPr>
        <xdr:cNvPr id="153" name="CustomShape 1"/>
        <xdr:cNvSpPr/>
      </xdr:nvSpPr>
      <xdr:spPr>
        <a:xfrm>
          <a:off x="20655360" y="9874800"/>
          <a:ext cx="120132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163440</xdr:colOff>
      <xdr:row>56</xdr:row>
      <xdr:rowOff>113760</xdr:rowOff>
    </xdr:from>
    <xdr:to>
      <xdr:col>28</xdr:col>
      <xdr:colOff>593640</xdr:colOff>
      <xdr:row>61</xdr:row>
      <xdr:rowOff>51480</xdr:rowOff>
    </xdr:to>
    <xdr:sp>
      <xdr:nvSpPr>
        <xdr:cNvPr id="154" name="CustomShape 1"/>
        <xdr:cNvSpPr/>
      </xdr:nvSpPr>
      <xdr:spPr>
        <a:xfrm>
          <a:off x="20651400" y="10781640"/>
          <a:ext cx="11890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27</xdr:col>
      <xdr:colOff>163440</xdr:colOff>
      <xdr:row>61</xdr:row>
      <xdr:rowOff>45720</xdr:rowOff>
    </xdr:from>
    <xdr:to>
      <xdr:col>28</xdr:col>
      <xdr:colOff>591120</xdr:colOff>
      <xdr:row>65</xdr:row>
      <xdr:rowOff>173880</xdr:rowOff>
    </xdr:to>
    <xdr:sp>
      <xdr:nvSpPr>
        <xdr:cNvPr id="155" name="CustomShape 1"/>
        <xdr:cNvSpPr/>
      </xdr:nvSpPr>
      <xdr:spPr>
        <a:xfrm>
          <a:off x="20651400" y="11666160"/>
          <a:ext cx="118656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Frits Philips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28</xdr:col>
      <xdr:colOff>438480</xdr:colOff>
      <xdr:row>30</xdr:row>
      <xdr:rowOff>122400</xdr:rowOff>
    </xdr:from>
    <xdr:to>
      <xdr:col>30</xdr:col>
      <xdr:colOff>261000</xdr:colOff>
      <xdr:row>35</xdr:row>
      <xdr:rowOff>60120</xdr:rowOff>
    </xdr:to>
    <xdr:sp>
      <xdr:nvSpPr>
        <xdr:cNvPr id="156" name="CustomShape 1"/>
        <xdr:cNvSpPr/>
      </xdr:nvSpPr>
      <xdr:spPr>
        <a:xfrm>
          <a:off x="21685320" y="5837400"/>
          <a:ext cx="1340280" cy="88992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28</xdr:col>
      <xdr:colOff>438480</xdr:colOff>
      <xdr:row>35</xdr:row>
      <xdr:rowOff>77760</xdr:rowOff>
    </xdr:from>
    <xdr:to>
      <xdr:col>30</xdr:col>
      <xdr:colOff>261000</xdr:colOff>
      <xdr:row>40</xdr:row>
      <xdr:rowOff>15480</xdr:rowOff>
    </xdr:to>
    <xdr:sp>
      <xdr:nvSpPr>
        <xdr:cNvPr id="157" name="CustomShape 1"/>
        <xdr:cNvSpPr/>
      </xdr:nvSpPr>
      <xdr:spPr>
        <a:xfrm>
          <a:off x="21685320" y="6744960"/>
          <a:ext cx="13402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1" lang="en-US" sz="1200" spc="-1" strike="noStrike">
              <a:solidFill>
                <a:srgbClr val="000000"/>
              </a:solidFill>
              <a:latin typeface="Calibri"/>
            </a:rPr>
            <a:t>Festival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28</xdr:col>
      <xdr:colOff>438480</xdr:colOff>
      <xdr:row>40</xdr:row>
      <xdr:rowOff>32760</xdr:rowOff>
    </xdr:from>
    <xdr:to>
      <xdr:col>30</xdr:col>
      <xdr:colOff>256320</xdr:colOff>
      <xdr:row>44</xdr:row>
      <xdr:rowOff>160920</xdr:rowOff>
    </xdr:to>
    <xdr:sp>
      <xdr:nvSpPr>
        <xdr:cNvPr id="158" name="CustomShape 1"/>
        <xdr:cNvSpPr/>
      </xdr:nvSpPr>
      <xdr:spPr>
        <a:xfrm>
          <a:off x="21685320" y="7652520"/>
          <a:ext cx="13356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28</xdr:col>
      <xdr:colOff>421920</xdr:colOff>
      <xdr:row>44</xdr:row>
      <xdr:rowOff>177840</xdr:rowOff>
    </xdr:from>
    <xdr:to>
      <xdr:col>30</xdr:col>
      <xdr:colOff>237240</xdr:colOff>
      <xdr:row>49</xdr:row>
      <xdr:rowOff>115560</xdr:rowOff>
    </xdr:to>
    <xdr:sp>
      <xdr:nvSpPr>
        <xdr:cNvPr id="159" name="CustomShape 1"/>
        <xdr:cNvSpPr/>
      </xdr:nvSpPr>
      <xdr:spPr>
        <a:xfrm>
          <a:off x="21668760" y="8559720"/>
          <a:ext cx="13330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28</xdr:col>
      <xdr:colOff>408240</xdr:colOff>
      <xdr:row>49</xdr:row>
      <xdr:rowOff>96120</xdr:rowOff>
    </xdr:from>
    <xdr:to>
      <xdr:col>30</xdr:col>
      <xdr:colOff>223560</xdr:colOff>
      <xdr:row>54</xdr:row>
      <xdr:rowOff>33840</xdr:rowOff>
    </xdr:to>
    <xdr:sp>
      <xdr:nvSpPr>
        <xdr:cNvPr id="160" name="CustomShape 1"/>
        <xdr:cNvSpPr/>
      </xdr:nvSpPr>
      <xdr:spPr>
        <a:xfrm>
          <a:off x="21655080" y="9430560"/>
          <a:ext cx="13330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28</xdr:col>
      <xdr:colOff>408240</xdr:colOff>
      <xdr:row>54</xdr:row>
      <xdr:rowOff>28080</xdr:rowOff>
    </xdr:from>
    <xdr:to>
      <xdr:col>30</xdr:col>
      <xdr:colOff>223560</xdr:colOff>
      <xdr:row>58</xdr:row>
      <xdr:rowOff>156240</xdr:rowOff>
    </xdr:to>
    <xdr:sp>
      <xdr:nvSpPr>
        <xdr:cNvPr id="161" name="CustomShape 1"/>
        <xdr:cNvSpPr/>
      </xdr:nvSpPr>
      <xdr:spPr>
        <a:xfrm>
          <a:off x="21655080" y="10315080"/>
          <a:ext cx="133308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28</xdr:col>
      <xdr:colOff>380880</xdr:colOff>
      <xdr:row>58</xdr:row>
      <xdr:rowOff>150480</xdr:rowOff>
    </xdr:from>
    <xdr:to>
      <xdr:col>30</xdr:col>
      <xdr:colOff>210960</xdr:colOff>
      <xdr:row>63</xdr:row>
      <xdr:rowOff>88200</xdr:rowOff>
    </xdr:to>
    <xdr:sp>
      <xdr:nvSpPr>
        <xdr:cNvPr id="162" name="CustomShape 1"/>
        <xdr:cNvSpPr/>
      </xdr:nvSpPr>
      <xdr:spPr>
        <a:xfrm>
          <a:off x="21627720" y="11199240"/>
          <a:ext cx="13478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30</xdr:col>
      <xdr:colOff>7920</xdr:colOff>
      <xdr:row>32</xdr:row>
      <xdr:rowOff>149760</xdr:rowOff>
    </xdr:from>
    <xdr:to>
      <xdr:col>31</xdr:col>
      <xdr:colOff>430920</xdr:colOff>
      <xdr:row>37</xdr:row>
      <xdr:rowOff>87480</xdr:rowOff>
    </xdr:to>
    <xdr:sp>
      <xdr:nvSpPr>
        <xdr:cNvPr id="163" name="CustomShape 1"/>
        <xdr:cNvSpPr/>
      </xdr:nvSpPr>
      <xdr:spPr>
        <a:xfrm>
          <a:off x="22772520" y="6245640"/>
          <a:ext cx="118188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Paaspop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30</xdr:col>
      <xdr:colOff>6480</xdr:colOff>
      <xdr:row>37</xdr:row>
      <xdr:rowOff>104760</xdr:rowOff>
    </xdr:from>
    <xdr:to>
      <xdr:col>31</xdr:col>
      <xdr:colOff>434160</xdr:colOff>
      <xdr:row>42</xdr:row>
      <xdr:rowOff>42480</xdr:rowOff>
    </xdr:to>
    <xdr:sp>
      <xdr:nvSpPr>
        <xdr:cNvPr id="164" name="CustomShape 1"/>
        <xdr:cNvSpPr/>
      </xdr:nvSpPr>
      <xdr:spPr>
        <a:xfrm>
          <a:off x="22771080" y="7153200"/>
          <a:ext cx="118656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29</xdr:col>
      <xdr:colOff>597960</xdr:colOff>
      <xdr:row>42</xdr:row>
      <xdr:rowOff>55080</xdr:rowOff>
    </xdr:from>
    <xdr:to>
      <xdr:col>31</xdr:col>
      <xdr:colOff>420840</xdr:colOff>
      <xdr:row>46</xdr:row>
      <xdr:rowOff>183240</xdr:rowOff>
    </xdr:to>
    <xdr:sp>
      <xdr:nvSpPr>
        <xdr:cNvPr id="165" name="CustomShape 1"/>
        <xdr:cNvSpPr/>
      </xdr:nvSpPr>
      <xdr:spPr>
        <a:xfrm>
          <a:off x="22603680" y="8056080"/>
          <a:ext cx="1340640" cy="88992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29</xdr:col>
      <xdr:colOff>609120</xdr:colOff>
      <xdr:row>46</xdr:row>
      <xdr:rowOff>178200</xdr:rowOff>
    </xdr:from>
    <xdr:to>
      <xdr:col>31</xdr:col>
      <xdr:colOff>419760</xdr:colOff>
      <xdr:row>51</xdr:row>
      <xdr:rowOff>115920</xdr:rowOff>
    </xdr:to>
    <xdr:sp>
      <xdr:nvSpPr>
        <xdr:cNvPr id="166" name="CustomShape 1"/>
        <xdr:cNvSpPr/>
      </xdr:nvSpPr>
      <xdr:spPr>
        <a:xfrm>
          <a:off x="22614840" y="8940960"/>
          <a:ext cx="132840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  <xdr:txBody>
        <a:bodyPr lIns="36000" rIns="36000" tIns="45000" bIns="45000" anchor="ctr"/>
        <a:p>
          <a:pPr algn="ctr"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Stront rapers</a:t>
          </a: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29</xdr:col>
      <xdr:colOff>585000</xdr:colOff>
      <xdr:row>51</xdr:row>
      <xdr:rowOff>124200</xdr:rowOff>
    </xdr:from>
    <xdr:to>
      <xdr:col>31</xdr:col>
      <xdr:colOff>407880</xdr:colOff>
      <xdr:row>56</xdr:row>
      <xdr:rowOff>61920</xdr:rowOff>
    </xdr:to>
    <xdr:sp>
      <xdr:nvSpPr>
        <xdr:cNvPr id="167" name="CustomShape 1"/>
        <xdr:cNvSpPr/>
      </xdr:nvSpPr>
      <xdr:spPr>
        <a:xfrm>
          <a:off x="22590720" y="9839520"/>
          <a:ext cx="1340640" cy="890280"/>
        </a:xfrm>
        <a:prstGeom prst="hexagon">
          <a:avLst>
            <a:gd name="adj" fmla="val 25000"/>
            <a:gd name="vf" fmla="val 115470"/>
          </a:avLst>
        </a:prstGeom>
        <a:solidFill>
          <a:srgbClr val="ffffff">
            <a:alpha val="90000"/>
          </a:srgbClr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29</xdr:col>
      <xdr:colOff>598680</xdr:colOff>
      <xdr:row>56</xdr:row>
      <xdr:rowOff>69480</xdr:rowOff>
    </xdr:from>
    <xdr:to>
      <xdr:col>31</xdr:col>
      <xdr:colOff>414000</xdr:colOff>
      <xdr:row>61</xdr:row>
      <xdr:rowOff>7200</xdr:rowOff>
    </xdr:to>
    <xdr:sp>
      <xdr:nvSpPr>
        <xdr:cNvPr id="168" name="CustomShape 1"/>
        <xdr:cNvSpPr/>
      </xdr:nvSpPr>
      <xdr:spPr>
        <a:xfrm>
          <a:off x="22604400" y="10737360"/>
          <a:ext cx="1333080" cy="890280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rgbClr val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/>
      </xdr:style>
    </xdr:sp>
    <xdr:clientData/>
  </xdr:twoCellAnchor>
  <xdr:twoCellAnchor editAs="oneCell">
    <xdr:from>
      <xdr:col>7</xdr:col>
      <xdr:colOff>735840</xdr:colOff>
      <xdr:row>32</xdr:row>
      <xdr:rowOff>92520</xdr:rowOff>
    </xdr:from>
    <xdr:to>
      <xdr:col>11</xdr:col>
      <xdr:colOff>379440</xdr:colOff>
      <xdr:row>36</xdr:row>
      <xdr:rowOff>40680</xdr:rowOff>
    </xdr:to>
    <xdr:sp>
      <xdr:nvSpPr>
        <xdr:cNvPr id="169" name="CustomShape 1"/>
        <xdr:cNvSpPr/>
      </xdr:nvSpPr>
      <xdr:spPr>
        <a:xfrm>
          <a:off x="6047280" y="6188400"/>
          <a:ext cx="2679120" cy="7102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/>
        <a:p>
          <a:pPr algn="ctr">
            <a:lnSpc>
              <a:spcPct val="100000"/>
            </a:lnSpc>
          </a:pPr>
          <a:r>
            <a:rPr b="0" lang="en-US" sz="4400" spc="-1" strike="noStrike">
              <a:solidFill>
                <a:srgbClr val="ff0000"/>
              </a:solidFill>
              <a:latin typeface="Times New Roman"/>
            </a:rPr>
            <a:t>Zes Letters</a:t>
          </a:r>
          <a:endParaRPr b="0" lang="en-US" sz="4400" spc="-1" strike="noStrike">
            <a:latin typeface="Times New Roman"/>
          </a:endParaRPr>
        </a:p>
      </xdr:txBody>
    </xdr:sp>
    <xdr:clientData/>
  </xdr:twoCellAnchor>
  <xdr:twoCellAnchor editAs="oneCell">
    <xdr:from>
      <xdr:col>10</xdr:col>
      <xdr:colOff>633240</xdr:colOff>
      <xdr:row>10</xdr:row>
      <xdr:rowOff>139680</xdr:rowOff>
    </xdr:from>
    <xdr:to>
      <xdr:col>17</xdr:col>
      <xdr:colOff>515880</xdr:colOff>
      <xdr:row>14</xdr:row>
      <xdr:rowOff>87840</xdr:rowOff>
    </xdr:to>
    <xdr:sp>
      <xdr:nvSpPr>
        <xdr:cNvPr id="170" name="CustomShape 1"/>
        <xdr:cNvSpPr/>
      </xdr:nvSpPr>
      <xdr:spPr>
        <a:xfrm>
          <a:off x="8221320" y="2044440"/>
          <a:ext cx="5194440" cy="7102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/>
        <a:p>
          <a:pPr algn="ctr">
            <a:lnSpc>
              <a:spcPct val="100000"/>
            </a:lnSpc>
          </a:pPr>
          <a:r>
            <a:rPr b="0" lang="en-US" sz="4400" spc="-1" strike="noStrike">
              <a:solidFill>
                <a:srgbClr val="ff0000"/>
              </a:solidFill>
              <a:latin typeface="Times New Roman"/>
            </a:rPr>
            <a:t>Bekende Brabander(s)</a:t>
          </a:r>
          <a:endParaRPr b="0" lang="en-US" sz="4400" spc="-1" strike="noStrike">
            <a:latin typeface="Times New Roman"/>
          </a:endParaRPr>
        </a:p>
      </xdr:txBody>
    </xdr:sp>
    <xdr:clientData/>
  </xdr:twoCellAnchor>
  <xdr:twoCellAnchor editAs="oneCell">
    <xdr:from>
      <xdr:col>25</xdr:col>
      <xdr:colOff>32760</xdr:colOff>
      <xdr:row>11</xdr:row>
      <xdr:rowOff>10080</xdr:rowOff>
    </xdr:from>
    <xdr:to>
      <xdr:col>28</xdr:col>
      <xdr:colOff>530280</xdr:colOff>
      <xdr:row>14</xdr:row>
      <xdr:rowOff>148680</xdr:rowOff>
    </xdr:to>
    <xdr:sp>
      <xdr:nvSpPr>
        <xdr:cNvPr id="171" name="CustomShape 1"/>
        <xdr:cNvSpPr/>
      </xdr:nvSpPr>
      <xdr:spPr>
        <a:xfrm>
          <a:off x="19003320" y="2105280"/>
          <a:ext cx="2773800" cy="7102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/>
        <a:p>
          <a:pPr algn="ctr">
            <a:lnSpc>
              <a:spcPct val="100000"/>
            </a:lnSpc>
          </a:pPr>
          <a:r>
            <a:rPr b="0" lang="en-US" sz="4400" spc="-1" strike="noStrike">
              <a:solidFill>
                <a:srgbClr val="ff0000"/>
              </a:solidFill>
              <a:latin typeface="Times New Roman"/>
            </a:rPr>
            <a:t>Met B en B</a:t>
          </a:r>
          <a:endParaRPr b="0" lang="en-US" sz="4400" spc="-1" strike="noStrike">
            <a:latin typeface="Times New Roman"/>
          </a:endParaRPr>
        </a:p>
      </xdr:txBody>
    </xdr:sp>
    <xdr:clientData/>
  </xdr:twoCellAnchor>
  <xdr:twoCellAnchor editAs="oneCell">
    <xdr:from>
      <xdr:col>28</xdr:col>
      <xdr:colOff>152280</xdr:colOff>
      <xdr:row>23</xdr:row>
      <xdr:rowOff>167760</xdr:rowOff>
    </xdr:from>
    <xdr:to>
      <xdr:col>37</xdr:col>
      <xdr:colOff>141840</xdr:colOff>
      <xdr:row>27</xdr:row>
      <xdr:rowOff>115920</xdr:rowOff>
    </xdr:to>
    <xdr:sp>
      <xdr:nvSpPr>
        <xdr:cNvPr id="172" name="CustomShape 1"/>
        <xdr:cNvSpPr/>
      </xdr:nvSpPr>
      <xdr:spPr>
        <a:xfrm>
          <a:off x="21399120" y="4548960"/>
          <a:ext cx="6819120" cy="7102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/>
        <a:p>
          <a:pPr algn="ctr">
            <a:lnSpc>
              <a:spcPct val="100000"/>
            </a:lnSpc>
          </a:pPr>
          <a:r>
            <a:rPr b="0" lang="en-US" sz="4400" spc="-1" strike="noStrike">
              <a:solidFill>
                <a:srgbClr val="ff0000"/>
              </a:solidFill>
              <a:latin typeface="Times New Roman"/>
            </a:rPr>
            <a:t>Eerste en eindletter het zelfde</a:t>
          </a:r>
          <a:endParaRPr b="0" lang="en-US" sz="4400" spc="-1" strike="noStrike">
            <a:latin typeface="Times New Roman"/>
          </a:endParaRPr>
        </a:p>
      </xdr:txBody>
    </xdr:sp>
    <xdr:clientData/>
  </xdr:twoCellAnchor>
  <xdr:twoCellAnchor editAs="oneCell">
    <xdr:from>
      <xdr:col>20</xdr:col>
      <xdr:colOff>741240</xdr:colOff>
      <xdr:row>69</xdr:row>
      <xdr:rowOff>168840</xdr:rowOff>
    </xdr:from>
    <xdr:to>
      <xdr:col>30</xdr:col>
      <xdr:colOff>288000</xdr:colOff>
      <xdr:row>73</xdr:row>
      <xdr:rowOff>117000</xdr:rowOff>
    </xdr:to>
    <xdr:sp>
      <xdr:nvSpPr>
        <xdr:cNvPr id="173" name="CustomShape 1"/>
        <xdr:cNvSpPr/>
      </xdr:nvSpPr>
      <xdr:spPr>
        <a:xfrm>
          <a:off x="15917400" y="13313160"/>
          <a:ext cx="7135200" cy="7102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/>
        <a:p>
          <a:pPr algn="ctr">
            <a:lnSpc>
              <a:spcPct val="100000"/>
            </a:lnSpc>
          </a:pPr>
          <a:r>
            <a:rPr b="0" lang="en-US" sz="4400" spc="-1" strike="noStrike">
              <a:solidFill>
                <a:srgbClr val="ff0000"/>
              </a:solidFill>
              <a:latin typeface="Times New Roman"/>
            </a:rPr>
            <a:t>(stand)beeld / (rijks)monument</a:t>
          </a:r>
          <a:endParaRPr b="0" lang="en-US" sz="4400" spc="-1" strike="noStrike">
            <a:latin typeface="Times New Roman"/>
          </a:endParaRPr>
        </a:p>
      </xdr:txBody>
    </xdr:sp>
    <xdr:clientData/>
  </xdr:twoCellAnchor>
  <xdr:twoCellAnchor editAs="oneCell">
    <xdr:from>
      <xdr:col>12</xdr:col>
      <xdr:colOff>201960</xdr:colOff>
      <xdr:row>69</xdr:row>
      <xdr:rowOff>163440</xdr:rowOff>
    </xdr:from>
    <xdr:to>
      <xdr:col>17</xdr:col>
      <xdr:colOff>486360</xdr:colOff>
      <xdr:row>73</xdr:row>
      <xdr:rowOff>111600</xdr:rowOff>
    </xdr:to>
    <xdr:sp>
      <xdr:nvSpPr>
        <xdr:cNvPr id="174" name="CustomShape 1"/>
        <xdr:cNvSpPr/>
      </xdr:nvSpPr>
      <xdr:spPr>
        <a:xfrm>
          <a:off x="9307800" y="13307760"/>
          <a:ext cx="4078440" cy="710280"/>
        </a:xfrm>
        <a:prstGeom prst="rect">
          <a:avLst/>
        </a:prstGeom>
        <a:noFill/>
        <a:ln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/>
        <a:p>
          <a:pPr algn="ctr">
            <a:lnSpc>
              <a:spcPct val="100000"/>
            </a:lnSpc>
          </a:pPr>
          <a:r>
            <a:rPr b="0" lang="en-US" sz="4400" spc="-1" strike="noStrike">
              <a:solidFill>
                <a:srgbClr val="ff0000"/>
              </a:solidFill>
              <a:latin typeface="Times New Roman"/>
            </a:rPr>
            <a:t>Begint met een B</a:t>
          </a:r>
          <a:endParaRPr b="0" lang="en-US" sz="44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0</xdr:colOff>
      <xdr:row>0</xdr:row>
      <xdr:rowOff>0</xdr:rowOff>
    </xdr:from>
    <xdr:to>
      <xdr:col>0</xdr:col>
      <xdr:colOff>35640</xdr:colOff>
      <xdr:row>0</xdr:row>
      <xdr:rowOff>35640</xdr:rowOff>
    </xdr:to>
    <xdr:pic>
      <xdr:nvPicPr>
        <xdr:cNvPr id="175" name="RenderedShapes" descr=""/>
        <xdr:cNvPicPr/>
      </xdr:nvPicPr>
      <xdr:blipFill>
        <a:blip r:embed="rId1"/>
        <a:stretch/>
      </xdr:blipFill>
      <xdr:spPr>
        <a:xfrm>
          <a:off x="0" y="0"/>
          <a:ext cx="35640" cy="356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T133"/>
  <sheetViews>
    <sheetView showFormulas="false" showGridLines="true" showRowColHeaders="true" showZeros="true" rightToLeft="false" tabSelected="false" showOutlineSymbols="true" defaultGridColor="true" view="normal" topLeftCell="A97" colorId="64" zoomScale="85" zoomScaleNormal="85" zoomScalePageLayoutView="100" workbookViewId="0">
      <selection pane="topLeft" activeCell="E130" activeCellId="0" sqref="E130"/>
    </sheetView>
  </sheetViews>
  <sheetFormatPr defaultRowHeight="15" zeroHeight="false" outlineLevelRow="0" outlineLevelCol="0"/>
  <cols>
    <col collapsed="false" customWidth="true" hidden="false" outlineLevel="0" max="1" min="1" style="0" width="29.86"/>
    <col collapsed="false" customWidth="true" hidden="false" outlineLevel="0" max="2" min="2" style="0" width="34.86"/>
    <col collapsed="false" customWidth="true" hidden="false" outlineLevel="0" max="6" min="3" style="0" width="5.28"/>
    <col collapsed="false" customWidth="true" hidden="false" outlineLevel="0" max="9" min="7" style="0" width="4.85"/>
    <col collapsed="false" customWidth="true" hidden="false" outlineLevel="0" max="10" min="10" style="0" width="5.28"/>
    <col collapsed="false" customWidth="true" hidden="false" outlineLevel="0" max="11" min="11" style="0" width="4.57"/>
    <col collapsed="false" customWidth="true" hidden="false" outlineLevel="0" max="12" min="12" style="0" width="5.57"/>
    <col collapsed="false" customWidth="true" hidden="false" outlineLevel="0" max="13" min="13" style="0" width="32.14"/>
    <col collapsed="false" customWidth="true" hidden="false" outlineLevel="0" max="14" min="14" style="0" width="30.29"/>
    <col collapsed="false" customWidth="true" hidden="false" outlineLevel="0" max="15" min="15" style="0" width="28.86"/>
    <col collapsed="false" customWidth="true" hidden="false" outlineLevel="0" max="16" min="16" style="0" width="31.43"/>
    <col collapsed="false" customWidth="true" hidden="false" outlineLevel="0" max="17" min="17" style="0" width="13.43"/>
    <col collapsed="false" customWidth="true" hidden="false" outlineLevel="0" max="18" min="18" style="0" width="16.28"/>
    <col collapsed="false" customWidth="true" hidden="false" outlineLevel="0" max="1025" min="19" style="0" width="8.53"/>
  </cols>
  <sheetData>
    <row r="1" customFormat="false" ht="15" hidden="false" customHeight="false" outlineLevel="0" collapsed="false">
      <c r="A1" s="1" t="s">
        <v>0</v>
      </c>
      <c r="B1" s="1"/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2" customFormat="false" ht="15" hidden="false" customHeight="false" outlineLevel="0" collapsed="false">
      <c r="A2" s="0" t="s">
        <v>9</v>
      </c>
      <c r="B2" s="2" t="s">
        <v>10</v>
      </c>
      <c r="C2" s="0" t="n">
        <v>39</v>
      </c>
      <c r="D2" s="0" t="n">
        <v>37</v>
      </c>
      <c r="E2" s="0" t="n">
        <v>36</v>
      </c>
      <c r="M2" s="0" t="str">
        <f aca="false">IFERROR(VLOOKUP(C2,categorieen!$D:$E,2,0),"")</f>
        <v>Theater</v>
      </c>
      <c r="N2" s="0" t="str">
        <f aca="false">IFERROR(VLOOKUP(D2,categorieen!$D:$E,2,0),"")</f>
        <v>s Hertogenbosch (DB)</v>
      </c>
      <c r="O2" s="0" t="str">
        <f aca="false">IFERROR(VLOOKUP(E2,categorieen!$D:$E,2,0),"")</f>
        <v>Plein</v>
      </c>
      <c r="P2" s="0" t="str">
        <f aca="false">IFERROR(VLOOKUP(F2,categorieen!$D:$E,2,0),"")</f>
        <v/>
      </c>
      <c r="Q2" s="0" t="str">
        <f aca="false">IFERROR(VLOOKUP(G2,categorieen!$D:$E,2,0),"")</f>
        <v/>
      </c>
      <c r="R2" s="0" t="str">
        <f aca="false">IFERROR(VLOOKUP(H2,categorieen!$D:$E,2,0),"")</f>
        <v/>
      </c>
      <c r="S2" s="0" t="str">
        <f aca="false">IFERROR(VLOOKUP(I2,categorieen!$D:$E,2,0),"")</f>
        <v/>
      </c>
    </row>
    <row r="3" customFormat="false" ht="15" hidden="false" customHeight="false" outlineLevel="0" collapsed="false">
      <c r="A3" s="0" t="s">
        <v>11</v>
      </c>
      <c r="B3" s="2" t="s">
        <v>12</v>
      </c>
      <c r="C3" s="0" t="n">
        <v>26</v>
      </c>
      <c r="D3" s="0" t="n">
        <v>9</v>
      </c>
      <c r="E3" s="0" t="n">
        <v>14</v>
      </c>
      <c r="M3" s="0" t="str">
        <f aca="false">IFERROR(VLOOKUP(C3,categorieen!$D:$E,2,0),"")</f>
        <v>Eindigt op el</v>
      </c>
      <c r="N3" s="0" t="str">
        <f aca="false">IFERROR(VLOOKUP(D3,categorieen!$D:$E,2,0),"")</f>
        <v>Kiosk</v>
      </c>
      <c r="O3" s="0" t="str">
        <f aca="false">IFERROR(VLOOKUP(E3,categorieen!$D:$E,2,0),"")</f>
        <v>Kasteel</v>
      </c>
      <c r="P3" s="0" t="str">
        <f aca="false">IFERROR(VLOOKUP(F3,categorieen!$D:$E,2,0),"")</f>
        <v/>
      </c>
      <c r="Q3" s="0" t="str">
        <f aca="false">IFERROR(VLOOKUP(G3,categorieen!$D:$E,2,0),"")</f>
        <v/>
      </c>
      <c r="R3" s="0" t="str">
        <f aca="false">IFERROR(VLOOKUP(H3,categorieen!$D:$E,2,0),"")</f>
        <v/>
      </c>
      <c r="S3" s="0" t="str">
        <f aca="false">IFERROR(VLOOKUP(I3,categorieen!$D:$E,2,0),"")</f>
        <v/>
      </c>
      <c r="T3" s="0" t="str">
        <f aca="false">IFERROR(VLOOKUP(J3,categorieen!$D:$E,2,0),"")</f>
        <v/>
      </c>
    </row>
    <row r="4" customFormat="false" ht="15" hidden="false" customHeight="false" outlineLevel="0" collapsed="false">
      <c r="A4" s="3" t="s">
        <v>13</v>
      </c>
      <c r="B4" s="2" t="s">
        <v>14</v>
      </c>
      <c r="C4" s="0" t="n">
        <v>15</v>
      </c>
      <c r="D4" s="0" t="n">
        <v>8</v>
      </c>
      <c r="E4" s="0" t="n">
        <v>36</v>
      </c>
      <c r="M4" s="0" t="str">
        <f aca="false">IFERROR(VLOOKUP(C4,categorieen!$D:$E,2,0),"")</f>
        <v>Getal/Cijfer</v>
      </c>
      <c r="N4" s="0" t="str">
        <f aca="false">IFERROR(VLOOKUP(D4,categorieen!$D:$E,2,0),"")</f>
        <v>040 (Eindhoven)</v>
      </c>
      <c r="O4" s="0" t="str">
        <f aca="false">IFERROR(VLOOKUP(E4,categorieen!$D:$E,2,0),"")</f>
        <v>Plein</v>
      </c>
      <c r="P4" s="0" t="str">
        <f aca="false">IFERROR(VLOOKUP(F4,categorieen!$D:$E,2,0),"")</f>
        <v/>
      </c>
      <c r="Q4" s="0" t="str">
        <f aca="false">IFERROR(VLOOKUP(G4,categorieen!$D:$E,2,0),"")</f>
        <v/>
      </c>
      <c r="R4" s="0" t="str">
        <f aca="false">IFERROR(VLOOKUP(H4,categorieen!$D:$E,2,0),"")</f>
        <v/>
      </c>
      <c r="S4" s="0" t="str">
        <f aca="false">IFERROR(VLOOKUP(I4,categorieen!$D:$E,2,0),"")</f>
        <v/>
      </c>
      <c r="T4" s="0" t="str">
        <f aca="false">IFERROR(VLOOKUP(J4,categorieen!$D:$E,2,0),"")</f>
        <v/>
      </c>
    </row>
    <row r="5" customFormat="false" ht="15" hidden="false" customHeight="false" outlineLevel="0" collapsed="false">
      <c r="A5" s="4" t="s">
        <v>15</v>
      </c>
      <c r="B5" s="2"/>
      <c r="C5" s="1" t="n">
        <v>5</v>
      </c>
      <c r="D5" s="1" t="n">
        <v>8</v>
      </c>
      <c r="M5" s="0" t="str">
        <f aca="false">IFERROR(VLOOKUP(C5,categorieen!$D:$E,2,0),"")</f>
        <v>Bekende Brabanders</v>
      </c>
      <c r="N5" s="0" t="str">
        <f aca="false">IFERROR(VLOOKUP(D5,categorieen!$D:$E,2,0),"")</f>
        <v>040 (Eindhoven)</v>
      </c>
      <c r="O5" s="0" t="str">
        <f aca="false">IFERROR(VLOOKUP(E5,categorieen!$D:$E,2,0),"")</f>
        <v/>
      </c>
      <c r="P5" s="0" t="str">
        <f aca="false">IFERROR(VLOOKUP(F5,categorieen!$D:$E,2,0),"")</f>
        <v/>
      </c>
      <c r="Q5" s="0" t="str">
        <f aca="false">IFERROR(VLOOKUP(G5,categorieen!$D:$E,2,0),"")</f>
        <v/>
      </c>
      <c r="R5" s="0" t="str">
        <f aca="false">IFERROR(VLOOKUP(H5,categorieen!$D:$E,2,0),"")</f>
        <v/>
      </c>
      <c r="S5" s="0" t="str">
        <f aca="false">IFERROR(VLOOKUP(I5,categorieen!$D:$E,2,0),"")</f>
        <v/>
      </c>
      <c r="T5" s="0" t="str">
        <f aca="false">IFERROR(VLOOKUP(J5,categorieen!$D:$E,2,0),"")</f>
        <v/>
      </c>
    </row>
    <row r="6" customFormat="false" ht="15" hidden="false" customHeight="false" outlineLevel="0" collapsed="false">
      <c r="A6" s="0" t="s">
        <v>16</v>
      </c>
      <c r="B6" s="2" t="s">
        <v>17</v>
      </c>
      <c r="C6" s="0" t="n">
        <v>16</v>
      </c>
      <c r="D6" s="0" t="n">
        <v>43</v>
      </c>
      <c r="M6" s="0" t="str">
        <f aca="false">IFERROR(VLOOKUP(C6,categorieen!$D:$E,2,0),"")</f>
        <v>Buurtschap</v>
      </c>
      <c r="N6" s="0" t="str">
        <f aca="false">IFERROR(VLOOKUP(D6,categorieen!$D:$E,2,0),"")</f>
        <v>Dierlijk</v>
      </c>
      <c r="O6" s="0" t="str">
        <f aca="false">IFERROR(VLOOKUP(E6,categorieen!$D:$E,2,0),"")</f>
        <v/>
      </c>
      <c r="P6" s="0" t="str">
        <f aca="false">IFERROR(VLOOKUP(F6,categorieen!$D:$E,2,0),"")</f>
        <v/>
      </c>
      <c r="Q6" s="0" t="str">
        <f aca="false">IFERROR(VLOOKUP(G6,categorieen!$D:$E,2,0),"")</f>
        <v/>
      </c>
      <c r="R6" s="0" t="str">
        <f aca="false">IFERROR(VLOOKUP(H6,categorieen!$D:$E,2,0),"")</f>
        <v/>
      </c>
      <c r="S6" s="0" t="str">
        <f aca="false">IFERROR(VLOOKUP(I6,categorieen!$D:$E,2,0),"")</f>
        <v/>
      </c>
      <c r="T6" s="0" t="str">
        <f aca="false">IFERROR(VLOOKUP(J6,categorieen!$D:$E,2,0),"")</f>
        <v/>
      </c>
    </row>
    <row r="7" customFormat="false" ht="15" hidden="false" customHeight="false" outlineLevel="0" collapsed="false">
      <c r="A7" s="0" t="s">
        <v>18</v>
      </c>
      <c r="B7" s="2" t="s">
        <v>19</v>
      </c>
      <c r="C7" s="0" t="n">
        <v>34</v>
      </c>
      <c r="D7" s="0" t="n">
        <v>2</v>
      </c>
      <c r="E7" s="0" t="n">
        <v>17</v>
      </c>
      <c r="F7" s="0" t="n">
        <v>14</v>
      </c>
      <c r="M7" s="0" t="str">
        <f aca="false">IFERROR(VLOOKUP(C7,categorieen!$D:$E,2,0),"")</f>
        <v>Met 4 Wieken</v>
      </c>
      <c r="N7" s="0" t="str">
        <f aca="false">IFERROR(VLOOKUP(D7,categorieen!$D:$E,2,0),"")</f>
        <v>(stand)beeld / (Rijks)monument</v>
      </c>
      <c r="O7" s="0" t="str">
        <f aca="false">IFERROR(VLOOKUP(E7,categorieen!$D:$E,2,0),"")</f>
        <v>Met dubbel s</v>
      </c>
      <c r="P7" s="0" t="str">
        <f aca="false">IFERROR(VLOOKUP(F7,categorieen!$D:$E,2,0),"")</f>
        <v>Kasteel</v>
      </c>
      <c r="Q7" s="0" t="str">
        <f aca="false">IFERROR(VLOOKUP(G7,categorieen!$D:$E,2,0),"")</f>
        <v/>
      </c>
      <c r="R7" s="0" t="str">
        <f aca="false">IFERROR(VLOOKUP(H7,categorieen!$D:$E,2,0),"")</f>
        <v/>
      </c>
      <c r="S7" s="0" t="str">
        <f aca="false">IFERROR(VLOOKUP(I7,categorieen!$D:$E,2,0),"")</f>
        <v/>
      </c>
      <c r="T7" s="0" t="str">
        <f aca="false">IFERROR(VLOOKUP(J7,categorieen!$D:$E,2,0),"")</f>
        <v/>
      </c>
    </row>
    <row r="8" customFormat="false" ht="15" hidden="false" customHeight="false" outlineLevel="0" collapsed="false">
      <c r="A8" s="0" t="s">
        <v>20</v>
      </c>
      <c r="B8" s="2" t="s">
        <v>21</v>
      </c>
      <c r="C8" s="0" t="n">
        <v>15</v>
      </c>
      <c r="D8" s="0" t="n">
        <v>37</v>
      </c>
      <c r="E8" s="0" t="n">
        <v>8</v>
      </c>
      <c r="F8" s="0" t="n">
        <v>41</v>
      </c>
      <c r="M8" s="0" t="str">
        <f aca="false">IFERROR(VLOOKUP(C8,categorieen!$D:$E,2,0),"")</f>
        <v>Getal/Cijfer</v>
      </c>
      <c r="N8" s="0" t="str">
        <f aca="false">IFERROR(VLOOKUP(D8,categorieen!$D:$E,2,0),"")</f>
        <v>s Hertogenbosch (DB)</v>
      </c>
      <c r="O8" s="0" t="str">
        <f aca="false">IFERROR(VLOOKUP(E8,categorieen!$D:$E,2,0),"")</f>
        <v>040 (Eindhoven)</v>
      </c>
      <c r="P8" s="0" t="str">
        <f aca="false">IFERROR(VLOOKUP(F8,categorieen!$D:$E,2,0),"")</f>
        <v>Vught</v>
      </c>
      <c r="Q8" s="0" t="str">
        <f aca="false">IFERROR(VLOOKUP(G8,categorieen!$D:$E,2,0),"")</f>
        <v/>
      </c>
      <c r="R8" s="0" t="str">
        <f aca="false">IFERROR(VLOOKUP(H8,categorieen!$D:$E,2,0),"")</f>
        <v/>
      </c>
      <c r="S8" s="0" t="str">
        <f aca="false">IFERROR(VLOOKUP(I8,categorieen!$D:$E,2,0),"")</f>
        <v/>
      </c>
      <c r="T8" s="0" t="str">
        <f aca="false">IFERROR(VLOOKUP(J8,categorieen!$D:$E,2,0),"")</f>
        <v/>
      </c>
    </row>
    <row r="9" customFormat="false" ht="15" hidden="false" customHeight="false" outlineLevel="0" collapsed="false">
      <c r="A9" s="0" t="s">
        <v>22</v>
      </c>
      <c r="B9" s="2" t="s">
        <v>23</v>
      </c>
      <c r="C9" s="0" t="n">
        <v>3</v>
      </c>
      <c r="D9" s="0" t="n">
        <v>40</v>
      </c>
      <c r="E9" s="0" t="n">
        <v>6</v>
      </c>
      <c r="F9" s="0" t="n">
        <v>43</v>
      </c>
      <c r="G9" s="0" t="n">
        <v>27</v>
      </c>
      <c r="M9" s="0" t="str">
        <f aca="false">IFERROR(VLOOKUP(C9,categorieen!$D:$E,2,0),"")</f>
        <v>Begint met een B</v>
      </c>
      <c r="N9" s="0" t="str">
        <f aca="false">IFERROR(VLOOKUP(D9,categorieen!$D:$E,2,0),"")</f>
        <v>Typisch Brabants (TB)</v>
      </c>
      <c r="O9" s="0" t="str">
        <f aca="false">IFERROR(VLOOKUP(E9,categorieen!$D:$E,2,0),"")</f>
        <v>Met B en B</v>
      </c>
      <c r="P9" s="0" t="str">
        <f aca="false">IFERROR(VLOOKUP(F9,categorieen!$D:$E,2,0),"")</f>
        <v>Dierlijk</v>
      </c>
      <c r="Q9" s="0" t="str">
        <f aca="false">IFERROR(VLOOKUP(G9,categorieen!$D:$E,2,0),"")</f>
        <v>Eten en Drinken (ED)</v>
      </c>
      <c r="R9" s="0" t="str">
        <f aca="false">IFERROR(VLOOKUP(H9,categorieen!$D:$E,2,0),"")</f>
        <v/>
      </c>
      <c r="S9" s="0" t="str">
        <f aca="false">IFERROR(VLOOKUP(I9,categorieen!$D:$E,2,0),"")</f>
        <v/>
      </c>
      <c r="T9" s="0" t="str">
        <f aca="false">IFERROR(VLOOKUP(J9,categorieen!$D:$E,2,0),"")</f>
        <v/>
      </c>
    </row>
    <row r="10" customFormat="false" ht="15" hidden="false" customHeight="false" outlineLevel="0" collapsed="false">
      <c r="A10" s="0" t="s">
        <v>24</v>
      </c>
      <c r="B10" s="2" t="s">
        <v>25</v>
      </c>
      <c r="C10" s="0" t="n">
        <v>3</v>
      </c>
      <c r="D10" s="0" t="n">
        <v>24</v>
      </c>
      <c r="E10" s="0" t="n">
        <v>30</v>
      </c>
      <c r="M10" s="0" t="str">
        <f aca="false">IFERROR(VLOOKUP(C10,categorieen!$D:$E,2,0),"")</f>
        <v>Begint met een B</v>
      </c>
      <c r="N10" s="0" t="str">
        <f aca="false">IFERROR(VLOOKUP(D10,categorieen!$D:$E,2,0),"")</f>
        <v>3 of 4 letters</v>
      </c>
      <c r="O10" s="0" t="str">
        <f aca="false">IFERROR(VLOOKUP(E10,categorieen!$D:$E,2,0),"")</f>
        <v>In de volksmond (IDV)</v>
      </c>
      <c r="P10" s="0" t="str">
        <f aca="false">IFERROR(VLOOKUP(F10,categorieen!$D:$E,2,0),"")</f>
        <v/>
      </c>
      <c r="Q10" s="0" t="str">
        <f aca="false">IFERROR(VLOOKUP(G10,categorieen!$D:$E,2,0),"")</f>
        <v/>
      </c>
      <c r="R10" s="0" t="str">
        <f aca="false">IFERROR(VLOOKUP(H10,categorieen!$D:$E,2,0),"")</f>
        <v/>
      </c>
      <c r="S10" s="0" t="str">
        <f aca="false">IFERROR(VLOOKUP(I10,categorieen!$D:$E,2,0),"")</f>
        <v/>
      </c>
      <c r="T10" s="0" t="str">
        <f aca="false">IFERROR(VLOOKUP(J10,categorieen!$D:$E,2,0),"")</f>
        <v/>
      </c>
    </row>
    <row r="11" customFormat="false" ht="15" hidden="false" customHeight="false" outlineLevel="0" collapsed="false">
      <c r="A11" s="5" t="s">
        <v>26</v>
      </c>
      <c r="B11" s="2" t="s">
        <v>27</v>
      </c>
      <c r="C11" s="1" t="n">
        <v>11</v>
      </c>
      <c r="D11" s="1" t="n">
        <v>3</v>
      </c>
      <c r="M11" s="0" t="str">
        <f aca="false">IFERROR(VLOOKUP(C11,categorieen!$D:$E,2,0),"")</f>
        <v>Tilburg</v>
      </c>
      <c r="N11" s="0" t="str">
        <f aca="false">IFERROR(VLOOKUP(D11,categorieen!$D:$E,2,0),"")</f>
        <v>Begint met een B</v>
      </c>
      <c r="O11" s="0" t="str">
        <f aca="false">IFERROR(VLOOKUP(E11,categorieen!$D:$E,2,0),"")</f>
        <v/>
      </c>
      <c r="P11" s="0" t="str">
        <f aca="false">IFERROR(VLOOKUP(F11,categorieen!$D:$E,2,0),"")</f>
        <v/>
      </c>
      <c r="Q11" s="0" t="str">
        <f aca="false">IFERROR(VLOOKUP(G11,categorieen!$D:$E,2,0),"")</f>
        <v/>
      </c>
      <c r="R11" s="0" t="str">
        <f aca="false">IFERROR(VLOOKUP(H11,categorieen!$D:$E,2,0),"")</f>
        <v/>
      </c>
      <c r="S11" s="0" t="str">
        <f aca="false">IFERROR(VLOOKUP(I11,categorieen!$D:$E,2,0),"")</f>
        <v/>
      </c>
      <c r="T11" s="0" t="str">
        <f aca="false">IFERROR(VLOOKUP(J11,categorieen!$D:$E,2,0),"")</f>
        <v/>
      </c>
    </row>
    <row r="12" s="1" customFormat="true" ht="15" hidden="false" customHeight="false" outlineLevel="0" collapsed="false">
      <c r="A12" s="6" t="s">
        <v>28</v>
      </c>
      <c r="B12" s="7"/>
      <c r="C12" s="1" t="n">
        <v>6</v>
      </c>
      <c r="D12" s="8" t="n">
        <v>29</v>
      </c>
      <c r="E12" s="8" t="n">
        <v>3</v>
      </c>
      <c r="F12" s="8" t="n">
        <v>43</v>
      </c>
      <c r="G12" s="1" t="n">
        <v>11</v>
      </c>
      <c r="M12" s="1" t="str">
        <f aca="false">IFERROR(VLOOKUP(C12,categorieen!$D:$E,2,0),"")</f>
        <v>Met B en B</v>
      </c>
      <c r="N12" s="1" t="str">
        <f aca="false">IFERROR(VLOOKUP(D12,categorieen!$D:$E,2,0),"")</f>
        <v>Hilvarenbeek</v>
      </c>
      <c r="O12" s="1" t="str">
        <f aca="false">IFERROR(VLOOKUP(E12,categorieen!$D:$E,2,0),"")</f>
        <v>Begint met een B</v>
      </c>
      <c r="P12" s="1" t="str">
        <f aca="false">IFERROR(VLOOKUP(F12,categorieen!$D:$E,2,0),"")</f>
        <v>Dierlijk</v>
      </c>
      <c r="Q12" s="1" t="str">
        <f aca="false">IFERROR(VLOOKUP(G12,categorieen!$D:$E,2,0),"")</f>
        <v>Tilburg</v>
      </c>
      <c r="R12" s="1" t="str">
        <f aca="false">IFERROR(VLOOKUP(H12,categorieen!$D:$E,2,0),"")</f>
        <v/>
      </c>
      <c r="S12" s="1" t="str">
        <f aca="false">IFERROR(VLOOKUP(I12,categorieen!$D:$E,2,0),"")</f>
        <v/>
      </c>
      <c r="T12" s="1" t="str">
        <f aca="false">IFERROR(VLOOKUP(J12,categorieen!$D:$E,2,0),"")</f>
        <v/>
      </c>
    </row>
    <row r="13" customFormat="false" ht="15" hidden="false" customHeight="false" outlineLevel="0" collapsed="false">
      <c r="A13" s="0" t="s">
        <v>29</v>
      </c>
      <c r="B13" s="2"/>
      <c r="C13" s="0" t="n">
        <v>12</v>
      </c>
      <c r="D13" s="8" t="n">
        <v>3</v>
      </c>
      <c r="E13" s="8" t="n">
        <v>19</v>
      </c>
      <c r="F13" s="8" t="n">
        <v>4</v>
      </c>
      <c r="G13" s="8" t="n">
        <v>27</v>
      </c>
      <c r="M13" s="0" t="str">
        <f aca="false">IFERROR(VLOOKUP(C13,categorieen!$D:$E,2,0),"")</f>
        <v>Water</v>
      </c>
      <c r="N13" s="0" t="str">
        <f aca="false">IFERROR(VLOOKUP(D13,categorieen!$D:$E,2,0),"")</f>
        <v>Begint met een B</v>
      </c>
      <c r="O13" s="0" t="str">
        <f aca="false">IFERROR(VLOOKUP(E13,categorieen!$D:$E,2,0),"")</f>
        <v>Natuur</v>
      </c>
      <c r="P13" s="0" t="str">
        <f aca="false">IFERROR(VLOOKUP(F13,categorieen!$D:$E,2,0),"")</f>
        <v>Zes letters</v>
      </c>
      <c r="Q13" s="0" t="str">
        <f aca="false">IFERROR(VLOOKUP(G13,categorieen!$D:$E,2,0),"")</f>
        <v>Eten en Drinken (ED)</v>
      </c>
      <c r="R13" s="0" t="str">
        <f aca="false">IFERROR(VLOOKUP(H13,categorieen!$D:$E,2,0),"")</f>
        <v/>
      </c>
      <c r="S13" s="0" t="str">
        <f aca="false">IFERROR(VLOOKUP(I13,categorieen!$D:$E,2,0),"")</f>
        <v/>
      </c>
      <c r="T13" s="0" t="str">
        <f aca="false">IFERROR(VLOOKUP(J13,categorieen!$D:$E,2,0),"")</f>
        <v/>
      </c>
    </row>
    <row r="14" customFormat="false" ht="15" hidden="false" customHeight="false" outlineLevel="0" collapsed="false">
      <c r="A14" s="0" t="s">
        <v>30</v>
      </c>
      <c r="B14" s="2"/>
      <c r="C14" s="0" t="n">
        <v>3</v>
      </c>
      <c r="D14" s="8" t="n">
        <v>4</v>
      </c>
      <c r="E14" s="8" t="n">
        <v>30</v>
      </c>
      <c r="F14" s="8" t="n">
        <v>40</v>
      </c>
      <c r="M14" s="0" t="str">
        <f aca="false">IFERROR(VLOOKUP(C14,categorieen!$D:$E,2,0),"")</f>
        <v>Begint met een B</v>
      </c>
      <c r="N14" s="0" t="str">
        <f aca="false">IFERROR(VLOOKUP(D14,categorieen!$D:$E,2,0),"")</f>
        <v>Zes letters</v>
      </c>
      <c r="O14" s="0" t="str">
        <f aca="false">IFERROR(VLOOKUP(E14,categorieen!$D:$E,2,0),"")</f>
        <v>In de volksmond (IDV)</v>
      </c>
      <c r="P14" s="0" t="str">
        <f aca="false">IFERROR(VLOOKUP(F14,categorieen!$D:$E,2,0),"")</f>
        <v>Typisch Brabants (TB)</v>
      </c>
      <c r="Q14" s="0" t="str">
        <f aca="false">IFERROR(VLOOKUP(G14,categorieen!$D:$E,2,0),"")</f>
        <v/>
      </c>
      <c r="R14" s="0" t="str">
        <f aca="false">IFERROR(VLOOKUP(H14,categorieen!$D:$E,2,0),"")</f>
        <v/>
      </c>
      <c r="S14" s="0" t="str">
        <f aca="false">IFERROR(VLOOKUP(I14,categorieen!$D:$E,2,0),"")</f>
        <v/>
      </c>
      <c r="T14" s="0" t="str">
        <f aca="false">IFERROR(VLOOKUP(J14,categorieen!$D:$E,2,0),"")</f>
        <v/>
      </c>
    </row>
    <row r="15" customFormat="false" ht="15" hidden="false" customHeight="false" outlineLevel="0" collapsed="false">
      <c r="A15" s="0" t="s">
        <v>31</v>
      </c>
      <c r="B15" s="2"/>
      <c r="C15" s="0" t="n">
        <v>21</v>
      </c>
      <c r="D15" s="0" t="n">
        <v>3</v>
      </c>
      <c r="E15" s="0" t="n">
        <v>22</v>
      </c>
      <c r="M15" s="0" t="str">
        <f aca="false">IFERROR(VLOOKUP(C15,categorieen!$D:$E,2,0),"")</f>
        <v>West Brabant</v>
      </c>
      <c r="N15" s="0" t="str">
        <f aca="false">IFERROR(VLOOKUP(D15,categorieen!$D:$E,2,0),"")</f>
        <v>Begint met een B</v>
      </c>
      <c r="O15" s="0" t="str">
        <f aca="false">IFERROR(VLOOKUP(E15,categorieen!$D:$E,2,0),"")</f>
        <v>3x dezelfde letter</v>
      </c>
      <c r="P15" s="0" t="str">
        <f aca="false">IFERROR(VLOOKUP(F15,categorieen!$D:$E,2,0),"")</f>
        <v/>
      </c>
      <c r="Q15" s="0" t="str">
        <f aca="false">IFERROR(VLOOKUP(G15,categorieen!$D:$E,2,0),"")</f>
        <v/>
      </c>
      <c r="R15" s="0" t="str">
        <f aca="false">IFERROR(VLOOKUP(H15,categorieen!$D:$E,2,0),"")</f>
        <v/>
      </c>
      <c r="S15" s="0" t="str">
        <f aca="false">IFERROR(VLOOKUP(I15,categorieen!$D:$E,2,0),"")</f>
        <v/>
      </c>
      <c r="T15" s="0" t="str">
        <f aca="false">IFERROR(VLOOKUP(J15,categorieen!$D:$E,2,0),"")</f>
        <v/>
      </c>
    </row>
    <row r="16" customFormat="false" ht="15" hidden="false" customHeight="false" outlineLevel="0" collapsed="false">
      <c r="A16" s="5" t="s">
        <v>32</v>
      </c>
      <c r="B16" s="2"/>
      <c r="C16" s="1" t="n">
        <v>3</v>
      </c>
      <c r="D16" s="1" t="n">
        <v>12</v>
      </c>
      <c r="M16" s="0" t="str">
        <f aca="false">IFERROR(VLOOKUP(C16,categorieen!$D:$E,2,0),"")</f>
        <v>Begint met een B</v>
      </c>
      <c r="N16" s="0" t="str">
        <f aca="false">IFERROR(VLOOKUP(D16,categorieen!$D:$E,2,0),"")</f>
        <v>Water</v>
      </c>
      <c r="O16" s="0" t="str">
        <f aca="false">IFERROR(VLOOKUP(E16,categorieen!$D:$E,2,0),"")</f>
        <v/>
      </c>
      <c r="P16" s="0" t="str">
        <f aca="false">IFERROR(VLOOKUP(F16,categorieen!$D:$E,2,0),"")</f>
        <v/>
      </c>
      <c r="Q16" s="0" t="str">
        <f aca="false">IFERROR(VLOOKUP(G16,categorieen!$D:$E,2,0),"")</f>
        <v/>
      </c>
      <c r="R16" s="0" t="str">
        <f aca="false">IFERROR(VLOOKUP(H16,categorieen!$D:$E,2,0),"")</f>
        <v/>
      </c>
      <c r="S16" s="0" t="str">
        <f aca="false">IFERROR(VLOOKUP(I16,categorieen!$D:$E,2,0),"")</f>
        <v/>
      </c>
      <c r="T16" s="0" t="str">
        <f aca="false">IFERROR(VLOOKUP(J16,categorieen!$D:$E,2,0),"")</f>
        <v/>
      </c>
    </row>
    <row r="17" customFormat="false" ht="15" hidden="false" customHeight="false" outlineLevel="0" collapsed="false">
      <c r="A17" s="0" t="s">
        <v>33</v>
      </c>
      <c r="B17" s="2"/>
      <c r="C17" s="0" t="n">
        <v>24</v>
      </c>
      <c r="D17" s="0" t="n">
        <v>3</v>
      </c>
      <c r="E17" s="0" t="n">
        <v>1</v>
      </c>
      <c r="F17" s="0" t="n">
        <v>32</v>
      </c>
      <c r="G17" s="0" t="n">
        <v>6</v>
      </c>
      <c r="H17" s="0" t="n">
        <v>40</v>
      </c>
      <c r="M17" s="0" t="str">
        <f aca="false">IFERROR(VLOOKUP(C17,categorieen!$D:$E,2,0),"")</f>
        <v>3 of 4 letters</v>
      </c>
      <c r="N17" s="0" t="str">
        <f aca="false">IFERROR(VLOOKUP(D17,categorieen!$D:$E,2,0),"")</f>
        <v>Begint met een B</v>
      </c>
      <c r="O17" s="0" t="str">
        <f aca="false">IFERROR(VLOOKUP(E17,categorieen!$D:$E,2,0),"")</f>
        <v>Eerste- en Eindletter hetzelfde</v>
      </c>
      <c r="P17" s="0" t="str">
        <f aca="false">IFERROR(VLOOKUP(F17,categorieen!$D:$E,2,0),"")</f>
        <v>Met ie</v>
      </c>
      <c r="Q17" s="0" t="str">
        <f aca="false">IFERROR(VLOOKUP(G17,categorieen!$D:$E,2,0),"")</f>
        <v>Met B en B</v>
      </c>
      <c r="R17" s="0" t="str">
        <f aca="false">IFERROR(VLOOKUP(H17,categorieen!$D:$E,2,0),"")</f>
        <v>Typisch Brabants (TB)</v>
      </c>
      <c r="S17" s="0" t="str">
        <f aca="false">IFERROR(VLOOKUP(I17,categorieen!$D:$E,2,0),"")</f>
        <v/>
      </c>
      <c r="T17" s="0" t="str">
        <f aca="false">IFERROR(VLOOKUP(J17,categorieen!$D:$E,2,0),"")</f>
        <v/>
      </c>
    </row>
    <row r="18" customFormat="false" ht="15" hidden="false" customHeight="false" outlineLevel="0" collapsed="false">
      <c r="A18" s="0" t="s">
        <v>34</v>
      </c>
      <c r="B18" s="2"/>
      <c r="C18" s="0" t="n">
        <v>32</v>
      </c>
      <c r="D18" s="0" t="n">
        <v>29</v>
      </c>
      <c r="E18" s="0" t="n">
        <v>3</v>
      </c>
      <c r="M18" s="0" t="str">
        <f aca="false">IFERROR(VLOOKUP(C18,categorieen!$D:$E,2,0),"")</f>
        <v>Met ie</v>
      </c>
      <c r="N18" s="0" t="str">
        <f aca="false">IFERROR(VLOOKUP(D18,categorieen!$D:$E,2,0),"")</f>
        <v>Hilvarenbeek</v>
      </c>
      <c r="O18" s="0" t="str">
        <f aca="false">IFERROR(VLOOKUP(E18,categorieen!$D:$E,2,0),"")</f>
        <v>Begint met een B</v>
      </c>
      <c r="P18" s="0" t="str">
        <f aca="false">IFERROR(VLOOKUP(F18,categorieen!$D:$E,2,0),"")</f>
        <v/>
      </c>
      <c r="Q18" s="0" t="str">
        <f aca="false">IFERROR(VLOOKUP(G18,categorieen!$D:$E,2,0),"")</f>
        <v/>
      </c>
      <c r="R18" s="0" t="str">
        <f aca="false">IFERROR(VLOOKUP(H18,categorieen!$D:$E,2,0),"")</f>
        <v/>
      </c>
      <c r="S18" s="0" t="str">
        <f aca="false">IFERROR(VLOOKUP(I18,categorieen!$D:$E,2,0),"")</f>
        <v/>
      </c>
      <c r="T18" s="0" t="str">
        <f aca="false">IFERROR(VLOOKUP(J18,categorieen!$D:$E,2,0),"")</f>
        <v/>
      </c>
    </row>
    <row r="19" customFormat="false" ht="15" hidden="false" customHeight="false" outlineLevel="0" collapsed="false">
      <c r="A19" s="5" t="s">
        <v>35</v>
      </c>
      <c r="B19" s="2"/>
      <c r="C19" s="1" t="n">
        <v>6</v>
      </c>
      <c r="D19" s="1" t="n">
        <v>19</v>
      </c>
      <c r="M19" s="0" t="str">
        <f aca="false">IFERROR(VLOOKUP(C19,categorieen!$D:$E,2,0),"")</f>
        <v>Met B en B</v>
      </c>
      <c r="N19" s="0" t="str">
        <f aca="false">IFERROR(VLOOKUP(D19,categorieen!$D:$E,2,0),"")</f>
        <v>Natuur</v>
      </c>
      <c r="O19" s="0" t="str">
        <f aca="false">IFERROR(VLOOKUP(E19,categorieen!$D:$E,2,0),"")</f>
        <v/>
      </c>
      <c r="P19" s="0" t="str">
        <f aca="false">IFERROR(VLOOKUP(F19,categorieen!$D:$E,2,0),"")</f>
        <v/>
      </c>
      <c r="Q19" s="0" t="str">
        <f aca="false">IFERROR(VLOOKUP(G19,categorieen!$D:$E,2,0),"")</f>
        <v/>
      </c>
      <c r="R19" s="0" t="str">
        <f aca="false">IFERROR(VLOOKUP(H19,categorieen!$D:$E,2,0),"")</f>
        <v/>
      </c>
      <c r="S19" s="0" t="str">
        <f aca="false">IFERROR(VLOOKUP(I19,categorieen!$D:$E,2,0),"")</f>
        <v/>
      </c>
      <c r="T19" s="0" t="str">
        <f aca="false">IFERROR(VLOOKUP(J19,categorieen!$D:$E,2,0),"")</f>
        <v/>
      </c>
    </row>
    <row r="20" customFormat="false" ht="15" hidden="false" customHeight="false" outlineLevel="0" collapsed="false">
      <c r="A20" s="0" t="s">
        <v>36</v>
      </c>
      <c r="B20" s="2" t="s">
        <v>37</v>
      </c>
      <c r="C20" s="0" t="n">
        <v>6</v>
      </c>
      <c r="D20" s="0" t="n">
        <v>38</v>
      </c>
      <c r="E20" s="0" t="n">
        <v>3</v>
      </c>
      <c r="F20" s="0" t="n">
        <v>32</v>
      </c>
      <c r="G20" s="0" t="n">
        <v>29</v>
      </c>
      <c r="M20" s="0" t="str">
        <f aca="false">IFERROR(VLOOKUP(C20,categorieen!$D:$E,2,0),"")</f>
        <v>Met B en B</v>
      </c>
      <c r="N20" s="0" t="str">
        <f aca="false">IFERROR(VLOOKUP(D20,categorieen!$D:$E,2,0),"")</f>
        <v>Sport</v>
      </c>
      <c r="O20" s="0" t="str">
        <f aca="false">IFERROR(VLOOKUP(E20,categorieen!$D:$E,2,0),"")</f>
        <v>Begint met een B</v>
      </c>
      <c r="P20" s="0" t="str">
        <f aca="false">IFERROR(VLOOKUP(F20,categorieen!$D:$E,2,0),"")</f>
        <v>Met ie</v>
      </c>
      <c r="Q20" s="0" t="str">
        <f aca="false">IFERROR(VLOOKUP(G20,categorieen!$D:$E,2,0),"")</f>
        <v>Hilvarenbeek</v>
      </c>
      <c r="R20" s="0" t="str">
        <f aca="false">IFERROR(VLOOKUP(H20,categorieen!$D:$E,2,0),"")</f>
        <v/>
      </c>
      <c r="S20" s="0" t="str">
        <f aca="false">IFERROR(VLOOKUP(I20,categorieen!$D:$E,2,0),"")</f>
        <v/>
      </c>
      <c r="T20" s="0" t="str">
        <f aca="false">IFERROR(VLOOKUP(J20,categorieen!$D:$E,2,0),"")</f>
        <v/>
      </c>
    </row>
    <row r="21" customFormat="false" ht="15" hidden="false" customHeight="false" outlineLevel="0" collapsed="false">
      <c r="A21" s="0" t="s">
        <v>38</v>
      </c>
      <c r="B21" s="2"/>
      <c r="C21" s="0" t="n">
        <v>3</v>
      </c>
      <c r="D21" s="0" t="n">
        <v>12</v>
      </c>
      <c r="E21" s="0" t="n">
        <v>19</v>
      </c>
      <c r="F21" s="0" t="n">
        <v>32</v>
      </c>
      <c r="G21" s="0" t="n">
        <v>37</v>
      </c>
      <c r="M21" s="0" t="str">
        <f aca="false">IFERROR(VLOOKUP(C21,categorieen!$D:$E,2,0),"")</f>
        <v>Begint met een B</v>
      </c>
      <c r="N21" s="0" t="str">
        <f aca="false">IFERROR(VLOOKUP(D21,categorieen!$D:$E,2,0),"")</f>
        <v>Water</v>
      </c>
      <c r="O21" s="0" t="str">
        <f aca="false">IFERROR(VLOOKUP(E21,categorieen!$D:$E,2,0),"")</f>
        <v>Natuur</v>
      </c>
      <c r="P21" s="0" t="str">
        <f aca="false">IFERROR(VLOOKUP(F21,categorieen!$D:$E,2,0),"")</f>
        <v>Met ie</v>
      </c>
      <c r="Q21" s="0" t="str">
        <f aca="false">IFERROR(VLOOKUP(G21,categorieen!$D:$E,2,0),"")</f>
        <v>s Hertogenbosch (DB)</v>
      </c>
      <c r="R21" s="0" t="str">
        <f aca="false">IFERROR(VLOOKUP(H21,categorieen!$D:$E,2,0),"")</f>
        <v/>
      </c>
      <c r="S21" s="0" t="str">
        <f aca="false">IFERROR(VLOOKUP(I21,categorieen!$D:$E,2,0),"")</f>
        <v/>
      </c>
      <c r="T21" s="0" t="str">
        <f aca="false">IFERROR(VLOOKUP(J21,categorieen!$D:$E,2,0),"")</f>
        <v/>
      </c>
    </row>
    <row r="22" customFormat="false" ht="15" hidden="false" customHeight="false" outlineLevel="0" collapsed="false">
      <c r="A22" s="0" t="s">
        <v>39</v>
      </c>
      <c r="B22" s="2"/>
      <c r="C22" s="0" t="n">
        <v>3</v>
      </c>
      <c r="D22" s="0" t="n">
        <v>4</v>
      </c>
      <c r="E22" s="0" t="n">
        <v>27</v>
      </c>
      <c r="M22" s="0" t="str">
        <f aca="false">IFERROR(VLOOKUP(C22,categorieen!$D:$E,2,0),"")</f>
        <v>Begint met een B</v>
      </c>
      <c r="N22" s="0" t="str">
        <f aca="false">IFERROR(VLOOKUP(D22,categorieen!$D:$E,2,0),"")</f>
        <v>Zes letters</v>
      </c>
      <c r="O22" s="0" t="str">
        <f aca="false">IFERROR(VLOOKUP(E22,categorieen!$D:$E,2,0),"")</f>
        <v>Eten en Drinken (ED)</v>
      </c>
      <c r="P22" s="0" t="str">
        <f aca="false">IFERROR(VLOOKUP(F22,categorieen!$D:$E,2,0),"")</f>
        <v/>
      </c>
      <c r="Q22" s="0" t="str">
        <f aca="false">IFERROR(VLOOKUP(G22,categorieen!$D:$E,2,0),"")</f>
        <v/>
      </c>
      <c r="R22" s="0" t="str">
        <f aca="false">IFERROR(VLOOKUP(H22,categorieen!$D:$E,2,0),"")</f>
        <v/>
      </c>
      <c r="S22" s="0" t="str">
        <f aca="false">IFERROR(VLOOKUP(I22,categorieen!$D:$E,2,0),"")</f>
        <v/>
      </c>
      <c r="T22" s="0" t="str">
        <f aca="false">IFERROR(VLOOKUP(J22,categorieen!$D:$E,2,0),"")</f>
        <v/>
      </c>
    </row>
    <row r="23" customFormat="false" ht="15" hidden="false" customHeight="false" outlineLevel="0" collapsed="false">
      <c r="A23" s="1" t="s">
        <v>40</v>
      </c>
      <c r="B23" s="2"/>
      <c r="C23" s="1" t="n">
        <v>22</v>
      </c>
      <c r="D23" s="1" t="n">
        <v>2</v>
      </c>
      <c r="E23" s="0" t="n">
        <v>17</v>
      </c>
      <c r="F23" s="1" t="n">
        <v>3</v>
      </c>
      <c r="G23" s="1" t="n">
        <v>29</v>
      </c>
      <c r="M23" s="0" t="str">
        <f aca="false">IFERROR(VLOOKUP(C23,categorieen!$D:$E,2,0),"")</f>
        <v>3x dezelfde letter</v>
      </c>
      <c r="N23" s="0" t="str">
        <f aca="false">IFERROR(VLOOKUP(D23,categorieen!$D:$E,2,0),"")</f>
        <v>(stand)beeld / (Rijks)monument</v>
      </c>
      <c r="O23" s="0" t="str">
        <f aca="false">IFERROR(VLOOKUP(E23,categorieen!$D:$E,2,0),"")</f>
        <v>Met dubbel s</v>
      </c>
      <c r="P23" s="0" t="str">
        <f aca="false">IFERROR(VLOOKUP(F23,categorieen!$D:$E,2,0),"")</f>
        <v>Begint met een B</v>
      </c>
      <c r="Q23" s="0" t="str">
        <f aca="false">IFERROR(VLOOKUP(G23,categorieen!$D:$E,2,0),"")</f>
        <v>Hilvarenbeek</v>
      </c>
      <c r="R23" s="0" t="str">
        <f aca="false">IFERROR(VLOOKUP(H23,categorieen!$D:$E,2,0),"")</f>
        <v/>
      </c>
      <c r="S23" s="0" t="str">
        <f aca="false">IFERROR(VLOOKUP(I23,categorieen!$D:$E,2,0),"")</f>
        <v/>
      </c>
      <c r="T23" s="0" t="str">
        <f aca="false">IFERROR(VLOOKUP(J23,categorieen!$D:$E,2,0),"")</f>
        <v/>
      </c>
    </row>
    <row r="24" customFormat="false" ht="15" hidden="false" customHeight="false" outlineLevel="0" collapsed="false">
      <c r="A24" s="0" t="s">
        <v>41</v>
      </c>
      <c r="B24" s="2" t="s">
        <v>42</v>
      </c>
      <c r="C24" s="0" t="n">
        <v>6</v>
      </c>
      <c r="D24" s="0" t="n">
        <v>3</v>
      </c>
      <c r="E24" s="0" t="n">
        <v>19</v>
      </c>
      <c r="F24" s="0" t="n">
        <v>37</v>
      </c>
      <c r="M24" s="0" t="str">
        <f aca="false">IFERROR(VLOOKUP(C24,categorieen!$D:$E,2,0),"")</f>
        <v>Met B en B</v>
      </c>
      <c r="N24" s="0" t="str">
        <f aca="false">IFERROR(VLOOKUP(D24,categorieen!$D:$E,2,0),"")</f>
        <v>Begint met een B</v>
      </c>
      <c r="O24" s="0" t="str">
        <f aca="false">IFERROR(VLOOKUP(E24,categorieen!$D:$E,2,0),"")</f>
        <v>Natuur</v>
      </c>
      <c r="P24" s="0" t="str">
        <f aca="false">IFERROR(VLOOKUP(F24,categorieen!$D:$E,2,0),"")</f>
        <v>s Hertogenbosch (DB)</v>
      </c>
      <c r="Q24" s="0" t="str">
        <f aca="false">IFERROR(VLOOKUP(G24,categorieen!$D:$E,2,0),"")</f>
        <v/>
      </c>
      <c r="R24" s="0" t="str">
        <f aca="false">IFERROR(VLOOKUP(H24,categorieen!$D:$E,2,0),"")</f>
        <v/>
      </c>
      <c r="S24" s="0" t="str">
        <f aca="false">IFERROR(VLOOKUP(I24,categorieen!$D:$E,2,0),"")</f>
        <v/>
      </c>
      <c r="T24" s="0" t="str">
        <f aca="false">IFERROR(VLOOKUP(J24,categorieen!$D:$E,2,0),"")</f>
        <v/>
      </c>
    </row>
    <row r="25" customFormat="false" ht="15" hidden="false" customHeight="false" outlineLevel="0" collapsed="false">
      <c r="A25" s="0" t="s">
        <v>43</v>
      </c>
      <c r="B25" s="2" t="s">
        <v>44</v>
      </c>
      <c r="C25" s="0" t="n">
        <v>14</v>
      </c>
      <c r="D25" s="0" t="n">
        <v>3</v>
      </c>
      <c r="E25" s="0" t="n">
        <v>19</v>
      </c>
      <c r="M25" s="0" t="str">
        <f aca="false">IFERROR(VLOOKUP(C25,categorieen!$D:$E,2,0),"")</f>
        <v>Kasteel</v>
      </c>
      <c r="N25" s="0" t="str">
        <f aca="false">IFERROR(VLOOKUP(D25,categorieen!$D:$E,2,0),"")</f>
        <v>Begint met een B</v>
      </c>
      <c r="O25" s="0" t="str">
        <f aca="false">IFERROR(VLOOKUP(E25,categorieen!$D:$E,2,0),"")</f>
        <v>Natuur</v>
      </c>
      <c r="P25" s="0" t="str">
        <f aca="false">IFERROR(VLOOKUP(F25,categorieen!$D:$E,2,0),"")</f>
        <v/>
      </c>
      <c r="Q25" s="0" t="str">
        <f aca="false">IFERROR(VLOOKUP(G25,categorieen!$D:$E,2,0),"")</f>
        <v/>
      </c>
      <c r="R25" s="0" t="str">
        <f aca="false">IFERROR(VLOOKUP(H25,categorieen!$D:$E,2,0),"")</f>
        <v/>
      </c>
      <c r="S25" s="0" t="str">
        <f aca="false">IFERROR(VLOOKUP(I25,categorieen!$D:$E,2,0),"")</f>
        <v/>
      </c>
      <c r="T25" s="0" t="str">
        <f aca="false">IFERROR(VLOOKUP(J25,categorieen!$D:$E,2,0),"")</f>
        <v/>
      </c>
    </row>
    <row r="26" customFormat="false" ht="15" hidden="false" customHeight="false" outlineLevel="0" collapsed="false">
      <c r="A26" s="1" t="s">
        <v>45</v>
      </c>
      <c r="B26" s="2" t="s">
        <v>46</v>
      </c>
      <c r="C26" s="1" t="n">
        <v>6</v>
      </c>
      <c r="D26" s="0" t="n">
        <v>5</v>
      </c>
      <c r="E26" s="0" t="n">
        <v>11</v>
      </c>
      <c r="F26" s="0" t="n">
        <v>38</v>
      </c>
      <c r="G26" s="1" t="n">
        <v>18</v>
      </c>
      <c r="H26" s="0" t="n">
        <v>3</v>
      </c>
      <c r="M26" s="1" t="str">
        <f aca="false">IFERROR(VLOOKUP(C26,categorieen!$D:$E,2,0),"")</f>
        <v>Met B en B</v>
      </c>
      <c r="N26" s="0" t="str">
        <f aca="false">IFERROR(VLOOKUP(D26,categorieen!$D:$E,2,0),"")</f>
        <v>Bekende Brabanders</v>
      </c>
      <c r="O26" s="0" t="str">
        <f aca="false">IFERROR(VLOOKUP(E26,categorieen!$D:$E,2,0),"")</f>
        <v>Tilburg</v>
      </c>
      <c r="P26" s="0" t="str">
        <f aca="false">IFERROR(VLOOKUP(F26,categorieen!$D:$E,2,0),"")</f>
        <v>Sport</v>
      </c>
      <c r="Q26" s="0" t="str">
        <f aca="false">IFERROR(VLOOKUP(G26,categorieen!$D:$E,2,0),"")</f>
        <v>Willem II</v>
      </c>
      <c r="R26" s="0" t="str">
        <f aca="false">IFERROR(VLOOKUP(H26,categorieen!$D:$E,2,0),"")</f>
        <v>Begint met een B</v>
      </c>
      <c r="S26" s="0" t="str">
        <f aca="false">IFERROR(VLOOKUP(I26,categorieen!$D:$E,2,0),"")</f>
        <v/>
      </c>
      <c r="T26" s="0" t="str">
        <f aca="false">IFERROR(VLOOKUP(J26,categorieen!$D:$E,2,0),"")</f>
        <v/>
      </c>
    </row>
    <row r="27" customFormat="false" ht="15" hidden="false" customHeight="false" outlineLevel="0" collapsed="false">
      <c r="A27" s="0" t="s">
        <v>47</v>
      </c>
      <c r="B27" s="2"/>
      <c r="C27" s="0" t="n">
        <v>8</v>
      </c>
      <c r="D27" s="0" t="n">
        <v>3</v>
      </c>
      <c r="E27" s="0" t="n">
        <v>14</v>
      </c>
      <c r="M27" s="0" t="str">
        <f aca="false">IFERROR(VLOOKUP(C27,categorieen!$D:$E,2,0),"")</f>
        <v>040 (Eindhoven)</v>
      </c>
      <c r="N27" s="0" t="str">
        <f aca="false">IFERROR(VLOOKUP(D27,categorieen!$D:$E,2,0),"")</f>
        <v>Begint met een B</v>
      </c>
      <c r="O27" s="0" t="str">
        <f aca="false">IFERROR(VLOOKUP(E27,categorieen!$D:$E,2,0),"")</f>
        <v>Kasteel</v>
      </c>
      <c r="P27" s="0" t="str">
        <f aca="false">IFERROR(VLOOKUP(F27,categorieen!$D:$E,2,0),"")</f>
        <v/>
      </c>
      <c r="Q27" s="0" t="str">
        <f aca="false">IFERROR(VLOOKUP(G27,categorieen!$D:$E,2,0),"")</f>
        <v/>
      </c>
      <c r="R27" s="0" t="str">
        <f aca="false">IFERROR(VLOOKUP(H27,categorieen!$D:$E,2,0),"")</f>
        <v/>
      </c>
      <c r="S27" s="0" t="str">
        <f aca="false">IFERROR(VLOOKUP(I27,categorieen!$D:$E,2,0),"")</f>
        <v/>
      </c>
      <c r="T27" s="0" t="str">
        <f aca="false">IFERROR(VLOOKUP(J27,categorieen!$D:$E,2,0),"")</f>
        <v/>
      </c>
    </row>
    <row r="28" customFormat="false" ht="15" hidden="false" customHeight="false" outlineLevel="0" collapsed="false">
      <c r="A28" s="1" t="s">
        <v>48</v>
      </c>
      <c r="B28" s="2"/>
      <c r="C28" s="1" t="n">
        <v>6</v>
      </c>
      <c r="D28" s="1" t="n">
        <v>5</v>
      </c>
      <c r="E28" s="0" t="n">
        <v>11</v>
      </c>
      <c r="F28" s="0" t="n">
        <v>38</v>
      </c>
      <c r="G28" s="1" t="n">
        <v>18</v>
      </c>
      <c r="H28" s="0" t="n">
        <v>3</v>
      </c>
      <c r="M28" s="0" t="str">
        <f aca="false">IFERROR(VLOOKUP(C28,categorieen!$D:$E,2,0),"")</f>
        <v>Met B en B</v>
      </c>
      <c r="N28" s="0" t="str">
        <f aca="false">IFERROR(VLOOKUP(D28,categorieen!$D:$E,2,0),"")</f>
        <v>Bekende Brabanders</v>
      </c>
      <c r="O28" s="0" t="str">
        <f aca="false">IFERROR(VLOOKUP(E28,categorieen!$D:$E,2,0),"")</f>
        <v>Tilburg</v>
      </c>
      <c r="P28" s="0" t="str">
        <f aca="false">IFERROR(VLOOKUP(F28,categorieen!$D:$E,2,0),"")</f>
        <v>Sport</v>
      </c>
      <c r="Q28" s="0" t="str">
        <f aca="false">IFERROR(VLOOKUP(G28,categorieen!$D:$E,2,0),"")</f>
        <v>Willem II</v>
      </c>
      <c r="R28" s="0" t="str">
        <f aca="false">IFERROR(VLOOKUP(H28,categorieen!$D:$E,2,0),"")</f>
        <v>Begint met een B</v>
      </c>
      <c r="S28" s="0" t="str">
        <f aca="false">IFERROR(VLOOKUP(I28,categorieen!$D:$E,2,0),"")</f>
        <v/>
      </c>
      <c r="T28" s="0" t="str">
        <f aca="false">IFERROR(VLOOKUP(J28,categorieen!$D:$E,2,0),"")</f>
        <v/>
      </c>
    </row>
    <row r="29" customFormat="false" ht="15" hidden="false" customHeight="false" outlineLevel="0" collapsed="false">
      <c r="A29" s="0" t="s">
        <v>49</v>
      </c>
      <c r="B29" s="2"/>
      <c r="C29" s="0" t="n">
        <v>32</v>
      </c>
      <c r="D29" s="0" t="n">
        <v>19</v>
      </c>
      <c r="E29" s="0" t="n">
        <v>12</v>
      </c>
      <c r="M29" s="0" t="str">
        <f aca="false">IFERROR(VLOOKUP(C29,categorieen!$D:$E,2,0),"")</f>
        <v>Met ie</v>
      </c>
      <c r="N29" s="0" t="str">
        <f aca="false">IFERROR(VLOOKUP(D29,categorieen!$D:$E,2,0),"")</f>
        <v>Natuur</v>
      </c>
      <c r="O29" s="0" t="str">
        <f aca="false">IFERROR(VLOOKUP(E29,categorieen!$D:$E,2,0),"")</f>
        <v>Water</v>
      </c>
      <c r="P29" s="0" t="str">
        <f aca="false">IFERROR(VLOOKUP(F29,categorieen!$D:$E,2,0),"")</f>
        <v/>
      </c>
      <c r="Q29" s="0" t="str">
        <f aca="false">IFERROR(VLOOKUP(G29,categorieen!$D:$E,2,0),"")</f>
        <v/>
      </c>
      <c r="R29" s="0" t="str">
        <f aca="false">IFERROR(VLOOKUP(H29,categorieen!$D:$E,2,0),"")</f>
        <v/>
      </c>
      <c r="S29" s="0" t="str">
        <f aca="false">IFERROR(VLOOKUP(I29,categorieen!$D:$E,2,0),"")</f>
        <v/>
      </c>
      <c r="T29" s="0" t="str">
        <f aca="false">IFERROR(VLOOKUP(J29,categorieen!$D:$E,2,0),"")</f>
        <v/>
      </c>
    </row>
    <row r="30" customFormat="false" ht="30" hidden="false" customHeight="true" outlineLevel="0" collapsed="false">
      <c r="A30" s="0" t="s">
        <v>50</v>
      </c>
      <c r="B30" s="2" t="s">
        <v>51</v>
      </c>
      <c r="C30" s="0" t="n">
        <v>39</v>
      </c>
      <c r="D30" s="0" t="n">
        <v>33</v>
      </c>
      <c r="E30" s="0" t="n">
        <v>21</v>
      </c>
      <c r="F30" s="0" t="n">
        <v>4</v>
      </c>
      <c r="G30" s="0" t="n">
        <v>5</v>
      </c>
      <c r="H30" s="0" t="n">
        <v>17</v>
      </c>
      <c r="M30" s="0" t="str">
        <f aca="false">IFERROR(VLOOKUP(C30,categorieen!$D:$E,2,0),"")</f>
        <v>Theater</v>
      </c>
      <c r="N30" s="0" t="str">
        <f aca="false">IFERROR(VLOOKUP(D30,categorieen!$D:$E,2,0),"")</f>
        <v>076 (Breda)</v>
      </c>
      <c r="O30" s="0" t="str">
        <f aca="false">IFERROR(VLOOKUP(E30,categorieen!$D:$E,2,0),"")</f>
        <v>West Brabant</v>
      </c>
      <c r="P30" s="0" t="str">
        <f aca="false">IFERROR(VLOOKUP(F30,categorieen!$D:$E,2,0),"")</f>
        <v>Zes letters</v>
      </c>
      <c r="Q30" s="0" t="str">
        <f aca="false">IFERROR(VLOOKUP(G30,categorieen!$D:$E,2,0),"")</f>
        <v>Bekende Brabanders</v>
      </c>
      <c r="R30" s="0" t="str">
        <f aca="false">IFERROR(VLOOKUP(H30,categorieen!$D:$E,2,0),"")</f>
        <v>Met dubbel s</v>
      </c>
      <c r="S30" s="0" t="str">
        <f aca="false">IFERROR(VLOOKUP(I30,categorieen!$D:$E,2,0),"")</f>
        <v/>
      </c>
      <c r="T30" s="0" t="str">
        <f aca="false">IFERROR(VLOOKUP(J30,categorieen!$D:$E,2,0),"")</f>
        <v/>
      </c>
    </row>
    <row r="31" customFormat="false" ht="15" hidden="false" customHeight="false" outlineLevel="0" collapsed="false">
      <c r="A31" s="0" t="s">
        <v>52</v>
      </c>
      <c r="B31" s="2"/>
      <c r="C31" s="0" t="n">
        <v>22</v>
      </c>
      <c r="D31" s="0" t="n">
        <v>14</v>
      </c>
      <c r="E31" s="0" t="n">
        <v>27</v>
      </c>
      <c r="F31" s="0" t="n">
        <v>2</v>
      </c>
      <c r="M31" s="0" t="str">
        <f aca="false">IFERROR(VLOOKUP(C31,categorieen!$D:$E,2,0),"")</f>
        <v>3x dezelfde letter</v>
      </c>
      <c r="N31" s="0" t="str">
        <f aca="false">IFERROR(VLOOKUP(D31,categorieen!$D:$E,2,0),"")</f>
        <v>Kasteel</v>
      </c>
      <c r="O31" s="0" t="str">
        <f aca="false">IFERROR(VLOOKUP(E31,categorieen!$D:$E,2,0),"")</f>
        <v>Eten en Drinken (ED)</v>
      </c>
      <c r="P31" s="0" t="str">
        <f aca="false">IFERROR(VLOOKUP(F31,categorieen!$D:$E,2,0),"")</f>
        <v>(stand)beeld / (Rijks)monument</v>
      </c>
      <c r="Q31" s="0" t="str">
        <f aca="false">IFERROR(VLOOKUP(G31,categorieen!$D:$E,2,0),"")</f>
        <v/>
      </c>
      <c r="R31" s="0" t="str">
        <f aca="false">IFERROR(VLOOKUP(H31,categorieen!$D:$E,2,0),"")</f>
        <v/>
      </c>
      <c r="S31" s="0" t="str">
        <f aca="false">IFERROR(VLOOKUP(I31,categorieen!$D:$E,2,0),"")</f>
        <v/>
      </c>
      <c r="T31" s="0" t="str">
        <f aca="false">IFERROR(VLOOKUP(J31,categorieen!$D:$E,2,0),"")</f>
        <v/>
      </c>
    </row>
    <row r="32" customFormat="false" ht="15" hidden="false" customHeight="false" outlineLevel="0" collapsed="false">
      <c r="A32" s="0" t="s">
        <v>53</v>
      </c>
      <c r="B32" s="2"/>
      <c r="C32" s="0" t="n">
        <v>22</v>
      </c>
      <c r="D32" s="0" t="n">
        <v>1</v>
      </c>
      <c r="E32" s="0" t="n">
        <v>42</v>
      </c>
      <c r="F32" s="0" t="n">
        <v>27</v>
      </c>
      <c r="M32" s="0" t="str">
        <f aca="false">IFERROR(VLOOKUP(C32,categorieen!$D:$E,2,0),"")</f>
        <v>3x dezelfde letter</v>
      </c>
      <c r="N32" s="0" t="str">
        <f aca="false">IFERROR(VLOOKUP(D32,categorieen!$D:$E,2,0),"")</f>
        <v>Eerste- en Eindletter hetzelfde</v>
      </c>
      <c r="O32" s="0" t="str">
        <f aca="false">IFERROR(VLOOKUP(E32,categorieen!$D:$E,2,0),"")</f>
        <v>7 letters</v>
      </c>
      <c r="P32" s="0" t="str">
        <f aca="false">IFERROR(VLOOKUP(F32,categorieen!$D:$E,2,0),"")</f>
        <v>Eten en Drinken (ED)</v>
      </c>
      <c r="Q32" s="0" t="str">
        <f aca="false">IFERROR(VLOOKUP(G32,categorieen!$D:$E,2,0),"")</f>
        <v/>
      </c>
      <c r="R32" s="0" t="str">
        <f aca="false">IFERROR(VLOOKUP(H32,categorieen!$D:$E,2,0),"")</f>
        <v/>
      </c>
      <c r="S32" s="0" t="str">
        <f aca="false">IFERROR(VLOOKUP(I32,categorieen!$D:$E,2,0),"")</f>
        <v/>
      </c>
      <c r="T32" s="0" t="str">
        <f aca="false">IFERROR(VLOOKUP(J32,categorieen!$D:$E,2,0),"")</f>
        <v/>
      </c>
    </row>
    <row r="33" customFormat="false" ht="15" hidden="false" customHeight="false" outlineLevel="0" collapsed="false">
      <c r="A33" s="0" t="s">
        <v>54</v>
      </c>
      <c r="B33" s="2"/>
      <c r="C33" s="0" t="n">
        <v>33</v>
      </c>
      <c r="D33" s="0" t="n">
        <v>21</v>
      </c>
      <c r="E33" s="0" t="n">
        <v>42</v>
      </c>
      <c r="F33" s="0" t="n">
        <v>15</v>
      </c>
      <c r="G33" s="0" t="n">
        <v>4</v>
      </c>
      <c r="M33" s="0" t="str">
        <f aca="false">IFERROR(VLOOKUP(C33,categorieen!$D:$E,2,0),"")</f>
        <v>076 (Breda)</v>
      </c>
      <c r="N33" s="0" t="str">
        <f aca="false">IFERROR(VLOOKUP(D33,categorieen!$D:$E,2,0),"")</f>
        <v>West Brabant</v>
      </c>
      <c r="O33" s="0" t="str">
        <f aca="false">IFERROR(VLOOKUP(E33,categorieen!$D:$E,2,0),"")</f>
        <v>7 letters</v>
      </c>
      <c r="P33" s="0" t="str">
        <f aca="false">IFERROR(VLOOKUP(F33,categorieen!$D:$E,2,0),"")</f>
        <v>Getal/Cijfer</v>
      </c>
      <c r="Q33" s="0" t="str">
        <f aca="false">IFERROR(VLOOKUP(G33,categorieen!$D:$E,2,0),"")</f>
        <v>Zes letters</v>
      </c>
      <c r="R33" s="0" t="str">
        <f aca="false">IFERROR(VLOOKUP(H33,categorieen!$D:$E,2,0),"")</f>
        <v/>
      </c>
      <c r="S33" s="0" t="str">
        <f aca="false">IFERROR(VLOOKUP(I33,categorieen!$D:$E,2,0),"")</f>
        <v/>
      </c>
      <c r="T33" s="0" t="str">
        <f aca="false">IFERROR(VLOOKUP(J33,categorieen!$D:$E,2,0),"")</f>
        <v/>
      </c>
    </row>
    <row r="34" customFormat="false" ht="15" hidden="false" customHeight="false" outlineLevel="0" collapsed="false">
      <c r="A34" s="0" t="s">
        <v>55</v>
      </c>
      <c r="B34" s="2"/>
      <c r="C34" s="0" t="n">
        <v>12</v>
      </c>
      <c r="D34" s="0" t="n">
        <v>19</v>
      </c>
      <c r="E34" s="0" t="n">
        <v>21</v>
      </c>
      <c r="F34" s="0" t="n">
        <v>39</v>
      </c>
      <c r="M34" s="0" t="str">
        <f aca="false">IFERROR(VLOOKUP(C34,categorieen!$D:$E,2,0),"")</f>
        <v>Water</v>
      </c>
      <c r="N34" s="0" t="str">
        <f aca="false">IFERROR(VLOOKUP(D34,categorieen!$D:$E,2,0),"")</f>
        <v>Natuur</v>
      </c>
      <c r="O34" s="0" t="str">
        <f aca="false">IFERROR(VLOOKUP(E34,categorieen!$D:$E,2,0),"")</f>
        <v>West Brabant</v>
      </c>
      <c r="P34" s="0" t="str">
        <f aca="false">IFERROR(VLOOKUP(F34,categorieen!$D:$E,2,0),"")</f>
        <v>Theater</v>
      </c>
      <c r="Q34" s="0" t="str">
        <f aca="false">IFERROR(VLOOKUP(G34,categorieen!$D:$E,2,0),"")</f>
        <v/>
      </c>
      <c r="R34" s="0" t="str">
        <f aca="false">IFERROR(VLOOKUP(H34,categorieen!$D:$E,2,0),"")</f>
        <v/>
      </c>
      <c r="S34" s="0" t="str">
        <f aca="false">IFERROR(VLOOKUP(I34,categorieen!$D:$E,2,0),"")</f>
        <v/>
      </c>
      <c r="T34" s="0" t="str">
        <f aca="false">IFERROR(VLOOKUP(J34,categorieen!$D:$E,2,0),"")</f>
        <v/>
      </c>
    </row>
    <row r="35" customFormat="false" ht="15" hidden="false" customHeight="false" outlineLevel="0" collapsed="false">
      <c r="A35" s="0" t="s">
        <v>56</v>
      </c>
      <c r="B35" s="2"/>
      <c r="C35" s="0" t="n">
        <v>16</v>
      </c>
      <c r="D35" s="0" t="n">
        <v>36</v>
      </c>
      <c r="E35" s="0" t="n">
        <v>8</v>
      </c>
      <c r="F35" s="0" t="n">
        <v>11</v>
      </c>
      <c r="G35" s="0" t="n">
        <v>9</v>
      </c>
      <c r="M35" s="0" t="str">
        <f aca="false">IFERROR(VLOOKUP(C35,categorieen!$D:$E,2,0),"")</f>
        <v>Buurtschap</v>
      </c>
      <c r="N35" s="0" t="str">
        <f aca="false">IFERROR(VLOOKUP(D35,categorieen!$D:$E,2,0),"")</f>
        <v>Plein</v>
      </c>
      <c r="O35" s="0" t="str">
        <f aca="false">IFERROR(VLOOKUP(E35,categorieen!$D:$E,2,0),"")</f>
        <v>040 (Eindhoven)</v>
      </c>
      <c r="P35" s="0" t="str">
        <f aca="false">IFERROR(VLOOKUP(F35,categorieen!$D:$E,2,0),"")</f>
        <v>Tilburg</v>
      </c>
      <c r="Q35" s="0" t="str">
        <f aca="false">IFERROR(VLOOKUP(G35,categorieen!$D:$E,2,0),"")</f>
        <v>Kiosk</v>
      </c>
      <c r="R35" s="0" t="str">
        <f aca="false">IFERROR(VLOOKUP(H35,categorieen!$D:$E,2,0),"")</f>
        <v/>
      </c>
      <c r="S35" s="0" t="str">
        <f aca="false">IFERROR(VLOOKUP(I35,categorieen!$D:$E,2,0),"")</f>
        <v/>
      </c>
      <c r="T35" s="0" t="str">
        <f aca="false">IFERROR(VLOOKUP(J35,categorieen!$D:$E,2,0),"")</f>
        <v/>
      </c>
    </row>
    <row r="36" customFormat="false" ht="15" hidden="false" customHeight="false" outlineLevel="0" collapsed="false">
      <c r="A36" s="0" t="s">
        <v>57</v>
      </c>
      <c r="B36" s="2" t="s">
        <v>58</v>
      </c>
      <c r="C36" s="0" t="n">
        <v>2</v>
      </c>
      <c r="D36" s="0" t="n">
        <v>33</v>
      </c>
      <c r="E36" s="0" t="n">
        <v>21</v>
      </c>
      <c r="F36" s="0" t="n">
        <v>26</v>
      </c>
      <c r="M36" s="0" t="str">
        <f aca="false">IFERROR(VLOOKUP(C36,categorieen!$D:$E,2,0),"")</f>
        <v>(stand)beeld / (Rijks)monument</v>
      </c>
      <c r="N36" s="0" t="str">
        <f aca="false">IFERROR(VLOOKUP(D36,categorieen!$D:$E,2,0),"")</f>
        <v>076 (Breda)</v>
      </c>
      <c r="O36" s="0" t="str">
        <f aca="false">IFERROR(VLOOKUP(E36,categorieen!$D:$E,2,0),"")</f>
        <v>West Brabant</v>
      </c>
      <c r="P36" s="0" t="str">
        <f aca="false">IFERROR(VLOOKUP(F36,categorieen!$D:$E,2,0),"")</f>
        <v>Eindigt op el</v>
      </c>
      <c r="Q36" s="0" t="str">
        <f aca="false">IFERROR(VLOOKUP(G36,categorieen!$D:$E,2,0),"")</f>
        <v/>
      </c>
      <c r="R36" s="0" t="str">
        <f aca="false">IFERROR(VLOOKUP(H36,categorieen!$D:$E,2,0),"")</f>
        <v/>
      </c>
      <c r="S36" s="0" t="str">
        <f aca="false">IFERROR(VLOOKUP(I36,categorieen!$D:$E,2,0),"")</f>
        <v/>
      </c>
      <c r="T36" s="0" t="str">
        <f aca="false">IFERROR(VLOOKUP(J36,categorieen!$D:$E,2,0),"")</f>
        <v/>
      </c>
    </row>
    <row r="37" customFormat="false" ht="15" hidden="false" customHeight="false" outlineLevel="0" collapsed="false">
      <c r="A37" s="0" t="s">
        <v>59</v>
      </c>
      <c r="B37" s="2"/>
      <c r="C37" s="0" t="n">
        <v>22</v>
      </c>
      <c r="D37" s="0" t="n">
        <v>34</v>
      </c>
      <c r="E37" s="0" t="n">
        <v>2</v>
      </c>
      <c r="M37" s="0" t="str">
        <f aca="false">IFERROR(VLOOKUP(C37,categorieen!$D:$E,2,0),"")</f>
        <v>3x dezelfde letter</v>
      </c>
      <c r="N37" s="0" t="str">
        <f aca="false">IFERROR(VLOOKUP(D37,categorieen!$D:$E,2,0),"")</f>
        <v>Met 4 Wieken</v>
      </c>
      <c r="O37" s="0" t="str">
        <f aca="false">IFERROR(VLOOKUP(E37,categorieen!$D:$E,2,0),"")</f>
        <v>(stand)beeld / (Rijks)monument</v>
      </c>
      <c r="P37" s="0" t="str">
        <f aca="false">IFERROR(VLOOKUP(F37,categorieen!$D:$E,2,0),"")</f>
        <v/>
      </c>
      <c r="Q37" s="0" t="str">
        <f aca="false">IFERROR(VLOOKUP(G37,categorieen!$D:$E,2,0),"")</f>
        <v/>
      </c>
      <c r="R37" s="0" t="str">
        <f aca="false">IFERROR(VLOOKUP(H37,categorieen!$D:$E,2,0),"")</f>
        <v/>
      </c>
      <c r="S37" s="0" t="str">
        <f aca="false">IFERROR(VLOOKUP(I37,categorieen!$D:$E,2,0),"")</f>
        <v/>
      </c>
      <c r="T37" s="0" t="str">
        <f aca="false">IFERROR(VLOOKUP(J37,categorieen!$D:$E,2,0),"")</f>
        <v/>
      </c>
    </row>
    <row r="38" customFormat="false" ht="15" hidden="false" customHeight="false" outlineLevel="0" collapsed="false">
      <c r="A38" s="0" t="s">
        <v>60</v>
      </c>
      <c r="B38" s="2"/>
      <c r="C38" s="0" t="n">
        <v>4</v>
      </c>
      <c r="D38" s="0" t="n">
        <v>5</v>
      </c>
      <c r="E38" s="0" t="n">
        <v>30</v>
      </c>
      <c r="F38" s="0" t="n">
        <v>2</v>
      </c>
      <c r="M38" s="0" t="str">
        <f aca="false">IFERROR(VLOOKUP(C38,categorieen!$D:$E,2,0),"")</f>
        <v>Zes letters</v>
      </c>
      <c r="N38" s="0" t="str">
        <f aca="false">IFERROR(VLOOKUP(D38,categorieen!$D:$E,2,0),"")</f>
        <v>Bekende Brabanders</v>
      </c>
      <c r="O38" s="0" t="str">
        <f aca="false">IFERROR(VLOOKUP(E38,categorieen!$D:$E,2,0),"")</f>
        <v>In de volksmond (IDV)</v>
      </c>
      <c r="P38" s="0" t="str">
        <f aca="false">IFERROR(VLOOKUP(F38,categorieen!$D:$E,2,0),"")</f>
        <v>(stand)beeld / (Rijks)monument</v>
      </c>
      <c r="Q38" s="0" t="str">
        <f aca="false">IFERROR(VLOOKUP(G38,categorieen!$D:$E,2,0),"")</f>
        <v/>
      </c>
      <c r="R38" s="0" t="str">
        <f aca="false">IFERROR(VLOOKUP(H38,categorieen!$D:$E,2,0),"")</f>
        <v/>
      </c>
      <c r="S38" s="0" t="str">
        <f aca="false">IFERROR(VLOOKUP(I38,categorieen!$D:$E,2,0),"")</f>
        <v/>
      </c>
      <c r="T38" s="0" t="str">
        <f aca="false">IFERROR(VLOOKUP(J38,categorieen!$D:$E,2,0),"")</f>
        <v/>
      </c>
    </row>
    <row r="39" customFormat="false" ht="15" hidden="false" customHeight="false" outlineLevel="0" collapsed="false">
      <c r="A39" s="0" t="s">
        <v>61</v>
      </c>
      <c r="B39" s="2" t="s">
        <v>62</v>
      </c>
      <c r="C39" s="0" t="n">
        <v>39</v>
      </c>
      <c r="D39" s="0" t="n">
        <v>22</v>
      </c>
      <c r="E39" s="0" t="n">
        <v>34</v>
      </c>
      <c r="M39" s="0" t="str">
        <f aca="false">IFERROR(VLOOKUP(C39,categorieen!$D:$E,2,0),"")</f>
        <v>Theater</v>
      </c>
      <c r="N39" s="0" t="str">
        <f aca="false">IFERROR(VLOOKUP(D39,categorieen!$D:$E,2,0),"")</f>
        <v>3x dezelfde letter</v>
      </c>
      <c r="O39" s="0" t="str">
        <f aca="false">IFERROR(VLOOKUP(E39,categorieen!$D:$E,2,0),"")</f>
        <v>Met 4 Wieken</v>
      </c>
      <c r="P39" s="0" t="str">
        <f aca="false">IFERROR(VLOOKUP(F39,categorieen!$D:$E,2,0),"")</f>
        <v/>
      </c>
      <c r="Q39" s="0" t="str">
        <f aca="false">IFERROR(VLOOKUP(G39,categorieen!$D:$E,2,0),"")</f>
        <v/>
      </c>
      <c r="R39" s="0" t="str">
        <f aca="false">IFERROR(VLOOKUP(H39,categorieen!$D:$E,2,0),"")</f>
        <v/>
      </c>
      <c r="S39" s="0" t="str">
        <f aca="false">IFERROR(VLOOKUP(I39,categorieen!$D:$E,2,0),"")</f>
        <v/>
      </c>
      <c r="T39" s="0" t="str">
        <f aca="false">IFERROR(VLOOKUP(J39,categorieen!$D:$E,2,0),"")</f>
        <v/>
      </c>
    </row>
    <row r="40" customFormat="false" ht="15" hidden="false" customHeight="false" outlineLevel="0" collapsed="false">
      <c r="A40" s="5" t="s">
        <v>63</v>
      </c>
      <c r="B40" s="7" t="s">
        <v>64</v>
      </c>
      <c r="C40" s="1" t="n">
        <v>4</v>
      </c>
      <c r="D40" s="1" t="n">
        <v>9</v>
      </c>
      <c r="M40" s="0" t="str">
        <f aca="false">IFERROR(VLOOKUP(C40,categorieen!$D:$E,2,0),"")</f>
        <v>Zes letters</v>
      </c>
      <c r="N40" s="0" t="str">
        <f aca="false">IFERROR(VLOOKUP(D40,categorieen!$D:$E,2,0),"")</f>
        <v>Kiosk</v>
      </c>
      <c r="O40" s="0" t="str">
        <f aca="false">IFERROR(VLOOKUP(E40,categorieen!$D:$E,2,0),"")</f>
        <v/>
      </c>
      <c r="P40" s="0" t="str">
        <f aca="false">IFERROR(VLOOKUP(F40,categorieen!$D:$E,2,0),"")</f>
        <v/>
      </c>
      <c r="Q40" s="0" t="str">
        <f aca="false">IFERROR(VLOOKUP(G40,categorieen!$D:$E,2,0),"")</f>
        <v/>
      </c>
      <c r="R40" s="0" t="str">
        <f aca="false">IFERROR(VLOOKUP(H40,categorieen!$D:$E,2,0),"")</f>
        <v/>
      </c>
      <c r="S40" s="0" t="str">
        <f aca="false">IFERROR(VLOOKUP(I40,categorieen!$D:$E,2,0),"")</f>
        <v/>
      </c>
      <c r="T40" s="0" t="str">
        <f aca="false">IFERROR(VLOOKUP(J40,categorieen!$D:$E,2,0),"")</f>
        <v/>
      </c>
    </row>
    <row r="41" customFormat="false" ht="15" hidden="false" customHeight="false" outlineLevel="0" collapsed="false">
      <c r="A41" s="0" t="s">
        <v>65</v>
      </c>
      <c r="B41" s="2"/>
      <c r="C41" s="0" t="n">
        <v>33</v>
      </c>
      <c r="D41" s="0" t="n">
        <v>21</v>
      </c>
      <c r="E41" s="0" t="n">
        <v>19</v>
      </c>
      <c r="F41" s="0" t="n">
        <v>40</v>
      </c>
      <c r="M41" s="0" t="str">
        <f aca="false">IFERROR(VLOOKUP(C41,categorieen!$D:$E,2,0),"")</f>
        <v>076 (Breda)</v>
      </c>
      <c r="N41" s="0" t="str">
        <f aca="false">IFERROR(VLOOKUP(D41,categorieen!$D:$E,2,0),"")</f>
        <v>West Brabant</v>
      </c>
      <c r="O41" s="0" t="str">
        <f aca="false">IFERROR(VLOOKUP(E41,categorieen!$D:$E,2,0),"")</f>
        <v>Natuur</v>
      </c>
      <c r="P41" s="0" t="str">
        <f aca="false">IFERROR(VLOOKUP(F41,categorieen!$D:$E,2,0),"")</f>
        <v>Typisch Brabants (TB)</v>
      </c>
      <c r="Q41" s="0" t="str">
        <f aca="false">IFERROR(VLOOKUP(G41,categorieen!$D:$E,2,0),"")</f>
        <v/>
      </c>
      <c r="R41" s="0" t="str">
        <f aca="false">IFERROR(VLOOKUP(H41,categorieen!$D:$E,2,0),"")</f>
        <v/>
      </c>
      <c r="S41" s="0" t="str">
        <f aca="false">IFERROR(VLOOKUP(I41,categorieen!$D:$E,2,0),"")</f>
        <v/>
      </c>
      <c r="T41" s="0" t="str">
        <f aca="false">IFERROR(VLOOKUP(J41,categorieen!$D:$E,2,0),"")</f>
        <v/>
      </c>
    </row>
    <row r="42" customFormat="false" ht="15" hidden="false" customHeight="false" outlineLevel="0" collapsed="false">
      <c r="A42" s="0" t="s">
        <v>66</v>
      </c>
      <c r="B42" s="2"/>
      <c r="C42" s="0" t="n">
        <v>16</v>
      </c>
      <c r="D42" s="0" t="n">
        <v>34</v>
      </c>
      <c r="E42" s="0" t="n">
        <v>21</v>
      </c>
      <c r="F42" s="0" t="n">
        <v>43</v>
      </c>
      <c r="M42" s="0" t="str">
        <f aca="false">IFERROR(VLOOKUP(C42,categorieen!$D:$E,2,0),"")</f>
        <v>Buurtschap</v>
      </c>
      <c r="N42" s="0" t="str">
        <f aca="false">IFERROR(VLOOKUP(D42,categorieen!$D:$E,2,0),"")</f>
        <v>Met 4 Wieken</v>
      </c>
      <c r="O42" s="0" t="str">
        <f aca="false">IFERROR(VLOOKUP(E42,categorieen!$D:$E,2,0),"")</f>
        <v>West Brabant</v>
      </c>
      <c r="P42" s="0" t="str">
        <f aca="false">IFERROR(VLOOKUP(F42,categorieen!$D:$E,2,0),"")</f>
        <v>Dierlijk</v>
      </c>
      <c r="Q42" s="0" t="str">
        <f aca="false">IFERROR(VLOOKUP(G42,categorieen!$D:$E,2,0),"")</f>
        <v/>
      </c>
      <c r="R42" s="0" t="str">
        <f aca="false">IFERROR(VLOOKUP(H42,categorieen!$D:$E,2,0),"")</f>
        <v/>
      </c>
      <c r="S42" s="0" t="str">
        <f aca="false">IFERROR(VLOOKUP(I42,categorieen!$D:$E,2,0),"")</f>
        <v/>
      </c>
      <c r="T42" s="0" t="str">
        <f aca="false">IFERROR(VLOOKUP(J42,categorieen!$D:$E,2,0),"")</f>
        <v/>
      </c>
    </row>
    <row r="43" customFormat="false" ht="15" hidden="false" customHeight="false" outlineLevel="0" collapsed="false">
      <c r="A43" s="0" t="s">
        <v>67</v>
      </c>
      <c r="B43" s="2"/>
      <c r="C43" s="0" t="n">
        <v>15</v>
      </c>
      <c r="D43" s="0" t="n">
        <v>34</v>
      </c>
      <c r="E43" s="0" t="n">
        <v>21</v>
      </c>
      <c r="M43" s="0" t="str">
        <f aca="false">IFERROR(VLOOKUP(C43,categorieen!$D:$E,2,0),"")</f>
        <v>Getal/Cijfer</v>
      </c>
      <c r="N43" s="0" t="str">
        <f aca="false">IFERROR(VLOOKUP(D43,categorieen!$D:$E,2,0),"")</f>
        <v>Met 4 Wieken</v>
      </c>
      <c r="O43" s="0" t="str">
        <f aca="false">IFERROR(VLOOKUP(E43,categorieen!$D:$E,2,0),"")</f>
        <v>West Brabant</v>
      </c>
      <c r="P43" s="0" t="str">
        <f aca="false">IFERROR(VLOOKUP(F43,categorieen!$D:$E,2,0),"")</f>
        <v/>
      </c>
      <c r="Q43" s="0" t="str">
        <f aca="false">IFERROR(VLOOKUP(G43,categorieen!$D:$E,2,0),"")</f>
        <v/>
      </c>
      <c r="R43" s="0" t="str">
        <f aca="false">IFERROR(VLOOKUP(H43,categorieen!$D:$E,2,0),"")</f>
        <v/>
      </c>
      <c r="S43" s="0" t="str">
        <f aca="false">IFERROR(VLOOKUP(I43,categorieen!$D:$E,2,0),"")</f>
        <v/>
      </c>
      <c r="T43" s="0" t="str">
        <f aca="false">IFERROR(VLOOKUP(J43,categorieen!$D:$E,2,0),"")</f>
        <v/>
      </c>
    </row>
    <row r="44" customFormat="false" ht="15" hidden="false" customHeight="false" outlineLevel="0" collapsed="false">
      <c r="A44" s="0" t="s">
        <v>68</v>
      </c>
      <c r="B44" s="2" t="s">
        <v>69</v>
      </c>
      <c r="C44" s="0" t="n">
        <v>7</v>
      </c>
      <c r="D44" s="0" t="n">
        <v>37</v>
      </c>
      <c r="E44" s="0" t="n">
        <v>15</v>
      </c>
      <c r="F44" s="0" t="n">
        <v>5</v>
      </c>
      <c r="G44" s="0" t="n">
        <v>31</v>
      </c>
      <c r="M44" s="0" t="str">
        <f aca="false">IFERROR(VLOOKUP(C44,categorieen!$D:$E,2,0),"")</f>
        <v>Alaaf</v>
      </c>
      <c r="N44" s="0" t="str">
        <f aca="false">IFERROR(VLOOKUP(D44,categorieen!$D:$E,2,0),"")</f>
        <v>s Hertogenbosch (DB)</v>
      </c>
      <c r="O44" s="0" t="str">
        <f aca="false">IFERROR(VLOOKUP(E44,categorieen!$D:$E,2,0),"")</f>
        <v>Getal/Cijfer</v>
      </c>
      <c r="P44" s="0" t="str">
        <f aca="false">IFERROR(VLOOKUP(F44,categorieen!$D:$E,2,0),"")</f>
        <v>Bekende Brabanders</v>
      </c>
      <c r="Q44" s="0" t="str">
        <f aca="false">IFERROR(VLOOKUP(G44,categorieen!$D:$E,2,0),"")</f>
        <v>Kleurrijk</v>
      </c>
      <c r="R44" s="0" t="str">
        <f aca="false">IFERROR(VLOOKUP(H44,categorieen!$D:$E,2,0),"")</f>
        <v/>
      </c>
      <c r="S44" s="0" t="str">
        <f aca="false">IFERROR(VLOOKUP(I44,categorieen!$D:$E,2,0),"")</f>
        <v/>
      </c>
      <c r="T44" s="0" t="str">
        <f aca="false">IFERROR(VLOOKUP(J44,categorieen!$D:$E,2,0),"")</f>
        <v/>
      </c>
    </row>
    <row r="45" customFormat="false" ht="15" hidden="false" customHeight="false" outlineLevel="0" collapsed="false">
      <c r="A45" s="0" t="s">
        <v>70</v>
      </c>
      <c r="B45" s="2"/>
      <c r="C45" s="0" t="n">
        <v>29</v>
      </c>
      <c r="D45" s="0" t="n">
        <v>36</v>
      </c>
      <c r="E45" s="0" t="n">
        <v>9</v>
      </c>
      <c r="M45" s="0" t="str">
        <f aca="false">IFERROR(VLOOKUP(C45,categorieen!$D:$E,2,0),"")</f>
        <v>Hilvarenbeek</v>
      </c>
      <c r="N45" s="0" t="str">
        <f aca="false">IFERROR(VLOOKUP(D45,categorieen!$D:$E,2,0),"")</f>
        <v>Plein</v>
      </c>
      <c r="O45" s="0" t="str">
        <f aca="false">IFERROR(VLOOKUP(E45,categorieen!$D:$E,2,0),"")</f>
        <v>Kiosk</v>
      </c>
      <c r="P45" s="0" t="str">
        <f aca="false">IFERROR(VLOOKUP(F45,categorieen!$D:$E,2,0),"")</f>
        <v/>
      </c>
      <c r="Q45" s="0" t="str">
        <f aca="false">IFERROR(VLOOKUP(G45,categorieen!$D:$E,2,0),"")</f>
        <v/>
      </c>
      <c r="R45" s="0" t="str">
        <f aca="false">IFERROR(VLOOKUP(H45,categorieen!$D:$E,2,0),"")</f>
        <v/>
      </c>
      <c r="S45" s="0" t="str">
        <f aca="false">IFERROR(VLOOKUP(I45,categorieen!$D:$E,2,0),"")</f>
        <v/>
      </c>
      <c r="T45" s="0" t="str">
        <f aca="false">IFERROR(VLOOKUP(J45,categorieen!$D:$E,2,0),"")</f>
        <v/>
      </c>
    </row>
    <row r="46" customFormat="false" ht="15" hidden="false" customHeight="false" outlineLevel="0" collapsed="false">
      <c r="A46" s="0" t="s">
        <v>71</v>
      </c>
      <c r="B46" s="2"/>
      <c r="C46" s="0" t="n">
        <v>7</v>
      </c>
      <c r="D46" s="0" t="n">
        <v>35</v>
      </c>
      <c r="M46" s="0" t="str">
        <f aca="false">IFERROR(VLOOKUP(C46,categorieen!$D:$E,2,0),"")</f>
        <v>Alaaf</v>
      </c>
      <c r="N46" s="0" t="str">
        <f aca="false">IFERROR(VLOOKUP(D46,categorieen!$D:$E,2,0),"")</f>
        <v>Parel in het Groen (PITG)</v>
      </c>
      <c r="O46" s="0" t="str">
        <f aca="false">IFERROR(VLOOKUP(E46,categorieen!$D:$E,2,0),"")</f>
        <v/>
      </c>
      <c r="P46" s="0" t="str">
        <f aca="false">IFERROR(VLOOKUP(F46,categorieen!$D:$E,2,0),"")</f>
        <v/>
      </c>
      <c r="Q46" s="0" t="str">
        <f aca="false">IFERROR(VLOOKUP(G46,categorieen!$D:$E,2,0),"")</f>
        <v/>
      </c>
      <c r="R46" s="0" t="str">
        <f aca="false">IFERROR(VLOOKUP(H46,categorieen!$D:$E,2,0),"")</f>
        <v/>
      </c>
      <c r="S46" s="0" t="str">
        <f aca="false">IFERROR(VLOOKUP(I46,categorieen!$D:$E,2,0),"")</f>
        <v/>
      </c>
      <c r="T46" s="0" t="str">
        <f aca="false">IFERROR(VLOOKUP(J46,categorieen!$D:$E,2,0),"")</f>
        <v/>
      </c>
    </row>
    <row r="47" customFormat="false" ht="15" hidden="false" customHeight="false" outlineLevel="0" collapsed="false">
      <c r="A47" s="0" t="s">
        <v>72</v>
      </c>
      <c r="B47" s="2"/>
      <c r="C47" s="0" t="n">
        <v>15</v>
      </c>
      <c r="D47" s="0" t="n">
        <v>27</v>
      </c>
      <c r="E47" s="0" t="n">
        <v>2</v>
      </c>
      <c r="M47" s="0" t="str">
        <f aca="false">IFERROR(VLOOKUP(C47,categorieen!$D:$E,2,0),"")</f>
        <v>Getal/Cijfer</v>
      </c>
      <c r="N47" s="0" t="str">
        <f aca="false">IFERROR(VLOOKUP(D47,categorieen!$D:$E,2,0),"")</f>
        <v>Eten en Drinken (ED)</v>
      </c>
      <c r="O47" s="0" t="str">
        <f aca="false">IFERROR(VLOOKUP(E47,categorieen!$D:$E,2,0),"")</f>
        <v>(stand)beeld / (Rijks)monument</v>
      </c>
      <c r="P47" s="0" t="str">
        <f aca="false">IFERROR(VLOOKUP(F47,categorieen!$D:$E,2,0),"")</f>
        <v/>
      </c>
      <c r="Q47" s="0" t="str">
        <f aca="false">IFERROR(VLOOKUP(G47,categorieen!$D:$E,2,0),"")</f>
        <v/>
      </c>
      <c r="R47" s="0" t="str">
        <f aca="false">IFERROR(VLOOKUP(H47,categorieen!$D:$E,2,0),"")</f>
        <v/>
      </c>
      <c r="S47" s="0" t="str">
        <f aca="false">IFERROR(VLOOKUP(I47,categorieen!$D:$E,2,0),"")</f>
        <v/>
      </c>
      <c r="T47" s="0" t="str">
        <f aca="false">IFERROR(VLOOKUP(J47,categorieen!$D:$E,2,0),"")</f>
        <v/>
      </c>
    </row>
    <row r="48" customFormat="false" ht="15" hidden="false" customHeight="false" outlineLevel="0" collapsed="false">
      <c r="A48" s="1" t="s">
        <v>73</v>
      </c>
      <c r="B48" s="2"/>
      <c r="C48" s="0" t="n">
        <v>29</v>
      </c>
      <c r="D48" s="0" t="n">
        <v>42</v>
      </c>
      <c r="E48" s="0" t="n">
        <v>17</v>
      </c>
      <c r="F48" s="0" t="n">
        <v>32</v>
      </c>
      <c r="G48" s="0" t="n">
        <v>18</v>
      </c>
      <c r="M48" s="0" t="str">
        <f aca="false">IFERROR(VLOOKUP(C48,categorieen!$D:$E,2,0),"")</f>
        <v>Hilvarenbeek</v>
      </c>
      <c r="N48" s="0" t="str">
        <f aca="false">IFERROR(VLOOKUP(D48,categorieen!$D:$E,2,0),"")</f>
        <v>7 letters</v>
      </c>
      <c r="O48" s="0" t="str">
        <f aca="false">IFERROR(VLOOKUP(E48,categorieen!$D:$E,2,0),"")</f>
        <v>Met dubbel s</v>
      </c>
      <c r="P48" s="0" t="str">
        <f aca="false">IFERROR(VLOOKUP(F48,categorieen!$D:$E,2,0),"")</f>
        <v>Met ie</v>
      </c>
      <c r="Q48" s="0" t="str">
        <f aca="false">IFERROR(VLOOKUP(G48,categorieen!$D:$E,2,0),"")</f>
        <v>Willem II</v>
      </c>
      <c r="R48" s="0" t="str">
        <f aca="false">IFERROR(VLOOKUP(H48,categorieen!$D:$E,2,0),"")</f>
        <v/>
      </c>
      <c r="S48" s="0" t="str">
        <f aca="false">IFERROR(VLOOKUP(I48,categorieen!$D:$E,2,0),"")</f>
        <v/>
      </c>
      <c r="T48" s="0" t="str">
        <f aca="false">IFERROR(VLOOKUP(J48,categorieen!$D:$E,2,0),"")</f>
        <v/>
      </c>
    </row>
    <row r="49" customFormat="false" ht="15" hidden="false" customHeight="false" outlineLevel="0" collapsed="false">
      <c r="A49" s="5" t="s">
        <v>74</v>
      </c>
      <c r="B49" s="2"/>
      <c r="C49" s="9" t="n">
        <v>5</v>
      </c>
      <c r="D49" s="9" t="n">
        <v>38</v>
      </c>
      <c r="E49" s="9" t="n">
        <v>11</v>
      </c>
      <c r="F49" s="9" t="n">
        <v>42</v>
      </c>
      <c r="G49" s="9" t="n">
        <v>31</v>
      </c>
      <c r="H49" s="9" t="n">
        <v>18</v>
      </c>
      <c r="M49" s="0" t="str">
        <f aca="false">IFERROR(VLOOKUP(C49,categorieen!$D:$E,2,0),"")</f>
        <v>Bekende Brabanders</v>
      </c>
      <c r="N49" s="0" t="str">
        <f aca="false">IFERROR(VLOOKUP(D49,categorieen!$D:$E,2,0),"")</f>
        <v>Sport</v>
      </c>
      <c r="O49" s="0" t="str">
        <f aca="false">IFERROR(VLOOKUP(E49,categorieen!$D:$E,2,0),"")</f>
        <v>Tilburg</v>
      </c>
      <c r="P49" s="0" t="str">
        <f aca="false">IFERROR(VLOOKUP(F49,categorieen!$D:$E,2,0),"")</f>
        <v>7 letters</v>
      </c>
      <c r="Q49" s="0" t="str">
        <f aca="false">IFERROR(VLOOKUP(G49,categorieen!$D:$E,2,0),"")</f>
        <v>Kleurrijk</v>
      </c>
      <c r="R49" s="0" t="str">
        <f aca="false">IFERROR(VLOOKUP(H49,categorieen!$D:$E,2,0),"")</f>
        <v>Willem II</v>
      </c>
      <c r="S49" s="0" t="str">
        <f aca="false">IFERROR(VLOOKUP(I49,categorieen!$D:$E,2,0),"")</f>
        <v/>
      </c>
      <c r="T49" s="0" t="str">
        <f aca="false">IFERROR(VLOOKUP(J49,categorieen!$D:$E,2,0),"")</f>
        <v/>
      </c>
    </row>
    <row r="50" customFormat="false" ht="15" hidden="false" customHeight="false" outlineLevel="0" collapsed="false">
      <c r="A50" s="0" t="s">
        <v>75</v>
      </c>
      <c r="B50" s="2" t="s">
        <v>76</v>
      </c>
      <c r="C50" s="0" t="n">
        <v>37</v>
      </c>
      <c r="D50" s="0" t="n">
        <v>2</v>
      </c>
      <c r="E50" s="0" t="n">
        <v>43</v>
      </c>
      <c r="M50" s="0" t="str">
        <f aca="false">IFERROR(VLOOKUP(C50,categorieen!$D:$E,2,0),"")</f>
        <v>s Hertogenbosch (DB)</v>
      </c>
      <c r="N50" s="0" t="str">
        <f aca="false">IFERROR(VLOOKUP(D50,categorieen!$D:$E,2,0),"")</f>
        <v>(stand)beeld / (Rijks)monument</v>
      </c>
      <c r="O50" s="0" t="str">
        <f aca="false">IFERROR(VLOOKUP(E50,categorieen!$D:$E,2,0),"")</f>
        <v>Dierlijk</v>
      </c>
      <c r="P50" s="0" t="str">
        <f aca="false">IFERROR(VLOOKUP(F50,categorieen!$D:$E,2,0),"")</f>
        <v/>
      </c>
      <c r="Q50" s="0" t="str">
        <f aca="false">IFERROR(VLOOKUP(G50,categorieen!$D:$E,2,0),"")</f>
        <v/>
      </c>
      <c r="R50" s="0" t="str">
        <f aca="false">IFERROR(VLOOKUP(H50,categorieen!$D:$E,2,0),"")</f>
        <v/>
      </c>
      <c r="S50" s="0" t="str">
        <f aca="false">IFERROR(VLOOKUP(I50,categorieen!$D:$E,2,0),"")</f>
        <v/>
      </c>
      <c r="T50" s="0" t="str">
        <f aca="false">IFERROR(VLOOKUP(J50,categorieen!$D:$E,2,0),"")</f>
        <v/>
      </c>
    </row>
    <row r="51" customFormat="false" ht="15" hidden="false" customHeight="false" outlineLevel="0" collapsed="false">
      <c r="A51" s="0" t="s">
        <v>77</v>
      </c>
      <c r="B51" s="2"/>
      <c r="C51" s="0" t="n">
        <v>25</v>
      </c>
      <c r="D51" s="0" t="n">
        <v>26</v>
      </c>
      <c r="E51" s="0" t="n">
        <v>4</v>
      </c>
      <c r="F51" s="0" t="n">
        <v>9</v>
      </c>
      <c r="M51" s="0" t="str">
        <f aca="false">IFERROR(VLOOKUP(C51,categorieen!$D:$E,2,0),"")</f>
        <v>1 van de 8</v>
      </c>
      <c r="N51" s="0" t="str">
        <f aca="false">IFERROR(VLOOKUP(D51,categorieen!$D:$E,2,0),"")</f>
        <v>Eindigt op el</v>
      </c>
      <c r="O51" s="0" t="str">
        <f aca="false">IFERROR(VLOOKUP(E51,categorieen!$D:$E,2,0),"")</f>
        <v>Zes letters</v>
      </c>
      <c r="P51" s="0" t="str">
        <f aca="false">IFERROR(VLOOKUP(F51,categorieen!$D:$E,2,0),"")</f>
        <v>Kiosk</v>
      </c>
      <c r="Q51" s="0" t="str">
        <f aca="false">IFERROR(VLOOKUP(G51,categorieen!$D:$E,2,0),"")</f>
        <v/>
      </c>
      <c r="R51" s="0" t="str">
        <f aca="false">IFERROR(VLOOKUP(H51,categorieen!$D:$E,2,0),"")</f>
        <v/>
      </c>
      <c r="S51" s="0" t="str">
        <f aca="false">IFERROR(VLOOKUP(I51,categorieen!$D:$E,2,0),"")</f>
        <v/>
      </c>
      <c r="T51" s="0" t="str">
        <f aca="false">IFERROR(VLOOKUP(J51,categorieen!$D:$E,2,0),"")</f>
        <v/>
      </c>
    </row>
    <row r="52" customFormat="false" ht="15" hidden="false" customHeight="false" outlineLevel="0" collapsed="false">
      <c r="A52" s="0" t="s">
        <v>78</v>
      </c>
      <c r="B52" s="2"/>
      <c r="C52" s="0" t="n">
        <v>25</v>
      </c>
      <c r="D52" s="0" t="n">
        <v>4</v>
      </c>
      <c r="E52" s="0" t="n">
        <v>22</v>
      </c>
      <c r="F52" s="0" t="n">
        <v>26</v>
      </c>
      <c r="G52" s="0" t="n">
        <v>9</v>
      </c>
      <c r="M52" s="0" t="str">
        <f aca="false">IFERROR(VLOOKUP(C52,categorieen!$D:$E,2,0),"")</f>
        <v>1 van de 8</v>
      </c>
      <c r="N52" s="0" t="str">
        <f aca="false">IFERROR(VLOOKUP(D52,categorieen!$D:$E,2,0),"")</f>
        <v>Zes letters</v>
      </c>
      <c r="O52" s="0" t="str">
        <f aca="false">IFERROR(VLOOKUP(E52,categorieen!$D:$E,2,0),"")</f>
        <v>3x dezelfde letter</v>
      </c>
      <c r="P52" s="0" t="str">
        <f aca="false">IFERROR(VLOOKUP(F52,categorieen!$D:$E,2,0),"")</f>
        <v>Eindigt op el</v>
      </c>
      <c r="Q52" s="0" t="str">
        <f aca="false">IFERROR(VLOOKUP(G52,categorieen!$D:$E,2,0),"")</f>
        <v>Kiosk</v>
      </c>
      <c r="R52" s="0" t="str">
        <f aca="false">IFERROR(VLOOKUP(H52,categorieen!$D:$E,2,0),"")</f>
        <v/>
      </c>
      <c r="S52" s="0" t="str">
        <f aca="false">IFERROR(VLOOKUP(I52,categorieen!$D:$E,2,0),"")</f>
        <v/>
      </c>
      <c r="T52" s="0" t="str">
        <f aca="false">IFERROR(VLOOKUP(J52,categorieen!$D:$E,2,0),"")</f>
        <v/>
      </c>
    </row>
    <row r="53" customFormat="false" ht="15" hidden="false" customHeight="false" outlineLevel="0" collapsed="false">
      <c r="A53" s="0" t="s">
        <v>79</v>
      </c>
      <c r="B53" s="2"/>
      <c r="C53" s="0" t="n">
        <v>29</v>
      </c>
      <c r="D53" s="0" t="n">
        <v>32</v>
      </c>
      <c r="E53" s="0" t="n">
        <v>20</v>
      </c>
      <c r="F53" s="0" t="n">
        <v>31</v>
      </c>
      <c r="G53" s="0" t="n">
        <v>27</v>
      </c>
      <c r="M53" s="0" t="str">
        <f aca="false">IFERROR(VLOOKUP(C53,categorieen!$D:$E,2,0),"")</f>
        <v>Hilvarenbeek</v>
      </c>
      <c r="N53" s="0" t="str">
        <f aca="false">IFERROR(VLOOKUP(D53,categorieen!$D:$E,2,0),"")</f>
        <v>Met ie</v>
      </c>
      <c r="O53" s="0" t="str">
        <f aca="false">IFERROR(VLOOKUP(E53,categorieen!$D:$E,2,0),"")</f>
        <v>Festival</v>
      </c>
      <c r="P53" s="0" t="str">
        <f aca="false">IFERROR(VLOOKUP(F53,categorieen!$D:$E,2,0),"")</f>
        <v>Kleurrijk</v>
      </c>
      <c r="Q53" s="0" t="str">
        <f aca="false">IFERROR(VLOOKUP(G53,categorieen!$D:$E,2,0),"")</f>
        <v>Eten en Drinken (ED)</v>
      </c>
      <c r="R53" s="0" t="str">
        <f aca="false">IFERROR(VLOOKUP(H53,categorieen!$D:$E,2,0),"")</f>
        <v/>
      </c>
      <c r="S53" s="0" t="str">
        <f aca="false">IFERROR(VLOOKUP(I53,categorieen!$D:$E,2,0),"")</f>
        <v/>
      </c>
      <c r="T53" s="0" t="str">
        <f aca="false">IFERROR(VLOOKUP(J53,categorieen!$D:$E,2,0),"")</f>
        <v/>
      </c>
    </row>
    <row r="54" customFormat="false" ht="15" hidden="false" customHeight="false" outlineLevel="0" collapsed="false">
      <c r="A54" s="0" t="s">
        <v>80</v>
      </c>
      <c r="B54" s="2"/>
      <c r="C54" s="0" t="n">
        <v>8</v>
      </c>
      <c r="D54" s="0" t="n">
        <v>42</v>
      </c>
      <c r="E54" s="0" t="n">
        <v>2</v>
      </c>
      <c r="M54" s="0" t="str">
        <f aca="false">IFERROR(VLOOKUP(C54,categorieen!$D:$E,2,0),"")</f>
        <v>040 (Eindhoven)</v>
      </c>
      <c r="N54" s="0" t="str">
        <f aca="false">IFERROR(VLOOKUP(D54,categorieen!$D:$E,2,0),"")</f>
        <v>7 letters</v>
      </c>
      <c r="O54" s="0" t="str">
        <f aca="false">IFERROR(VLOOKUP(E54,categorieen!$D:$E,2,0),"")</f>
        <v>(stand)beeld / (Rijks)monument</v>
      </c>
      <c r="P54" s="0" t="str">
        <f aca="false">IFERROR(VLOOKUP(F54,categorieen!$D:$E,2,0),"")</f>
        <v/>
      </c>
      <c r="Q54" s="0" t="str">
        <f aca="false">IFERROR(VLOOKUP(G54,categorieen!$D:$E,2,0),"")</f>
        <v/>
      </c>
      <c r="R54" s="0" t="str">
        <f aca="false">IFERROR(VLOOKUP(H54,categorieen!$D:$E,2,0),"")</f>
        <v/>
      </c>
      <c r="S54" s="0" t="str">
        <f aca="false">IFERROR(VLOOKUP(I54,categorieen!$D:$E,2,0),"")</f>
        <v/>
      </c>
      <c r="T54" s="0" t="str">
        <f aca="false">IFERROR(VLOOKUP(J54,categorieen!$D:$E,2,0),"")</f>
        <v/>
      </c>
    </row>
    <row r="55" customFormat="false" ht="15" hidden="false" customHeight="false" outlineLevel="0" collapsed="false">
      <c r="A55" s="0" t="s">
        <v>81</v>
      </c>
      <c r="B55" s="2" t="s">
        <v>82</v>
      </c>
      <c r="C55" s="0" t="n">
        <v>5</v>
      </c>
      <c r="D55" s="0" t="n">
        <v>8</v>
      </c>
      <c r="E55" s="0" t="n">
        <v>17</v>
      </c>
      <c r="M55" s="0" t="str">
        <f aca="false">IFERROR(VLOOKUP(C55,categorieen!$D:$E,2,0),"")</f>
        <v>Bekende Brabanders</v>
      </c>
      <c r="N55" s="0" t="str">
        <f aca="false">IFERROR(VLOOKUP(D55,categorieen!$D:$E,2,0),"")</f>
        <v>040 (Eindhoven)</v>
      </c>
      <c r="O55" s="0" t="str">
        <f aca="false">IFERROR(VLOOKUP(E55,categorieen!$D:$E,2,0),"")</f>
        <v>Met dubbel s</v>
      </c>
      <c r="P55" s="0" t="str">
        <f aca="false">IFERROR(VLOOKUP(F55,categorieen!$D:$E,2,0),"")</f>
        <v/>
      </c>
      <c r="Q55" s="0" t="str">
        <f aca="false">IFERROR(VLOOKUP(G55,categorieen!$D:$E,2,0),"")</f>
        <v/>
      </c>
      <c r="R55" s="0" t="str">
        <f aca="false">IFERROR(VLOOKUP(H55,categorieen!$D:$E,2,0),"")</f>
        <v/>
      </c>
      <c r="S55" s="0" t="str">
        <f aca="false">IFERROR(VLOOKUP(I55,categorieen!$D:$E,2,0),"")</f>
        <v/>
      </c>
      <c r="T55" s="0" t="str">
        <f aca="false">IFERROR(VLOOKUP(J55,categorieen!$D:$E,2,0),"")</f>
        <v/>
      </c>
    </row>
    <row r="56" customFormat="false" ht="15" hidden="false" customHeight="false" outlineLevel="0" collapsed="false">
      <c r="A56" s="5" t="s">
        <v>83</v>
      </c>
      <c r="B56" s="2"/>
      <c r="C56" s="1" t="n">
        <v>2</v>
      </c>
      <c r="D56" s="1" t="n">
        <v>22</v>
      </c>
      <c r="M56" s="0" t="str">
        <f aca="false">IFERROR(VLOOKUP(C56,categorieen!$D:$E,2,0),"")</f>
        <v>(stand)beeld / (Rijks)monument</v>
      </c>
      <c r="N56" s="0" t="str">
        <f aca="false">IFERROR(VLOOKUP(D56,categorieen!$D:$E,2,0),"")</f>
        <v>3x dezelfde letter</v>
      </c>
      <c r="O56" s="0" t="str">
        <f aca="false">IFERROR(VLOOKUP(E56,categorieen!$D:$E,2,0),"")</f>
        <v/>
      </c>
      <c r="P56" s="0" t="str">
        <f aca="false">IFERROR(VLOOKUP(F56,categorieen!$D:$E,2,0),"")</f>
        <v/>
      </c>
      <c r="Q56" s="0" t="str">
        <f aca="false">IFERROR(VLOOKUP(G56,categorieen!$D:$E,2,0),"")</f>
        <v/>
      </c>
      <c r="R56" s="0" t="str">
        <f aca="false">IFERROR(VLOOKUP(H56,categorieen!$D:$E,2,0),"")</f>
        <v/>
      </c>
      <c r="S56" s="0" t="str">
        <f aca="false">IFERROR(VLOOKUP(I56,categorieen!$D:$E,2,0),"")</f>
        <v/>
      </c>
      <c r="T56" s="0" t="str">
        <f aca="false">IFERROR(VLOOKUP(J56,categorieen!$D:$E,2,0),"")</f>
        <v/>
      </c>
    </row>
    <row r="57" customFormat="false" ht="15" hidden="false" customHeight="false" outlineLevel="0" collapsed="false">
      <c r="A57" s="0" t="s">
        <v>84</v>
      </c>
      <c r="B57" s="2"/>
      <c r="C57" s="0" t="n">
        <v>20</v>
      </c>
      <c r="D57" s="0" t="n">
        <v>8</v>
      </c>
      <c r="E57" s="0" t="n">
        <v>31</v>
      </c>
      <c r="F57" s="0" t="n">
        <v>24</v>
      </c>
      <c r="M57" s="0" t="str">
        <f aca="false">IFERROR(VLOOKUP(C57,categorieen!$D:$E,2,0),"")</f>
        <v>Festival</v>
      </c>
      <c r="N57" s="0" t="str">
        <f aca="false">IFERROR(VLOOKUP(D57,categorieen!$D:$E,2,0),"")</f>
        <v>040 (Eindhoven)</v>
      </c>
      <c r="O57" s="0" t="str">
        <f aca="false">IFERROR(VLOOKUP(E57,categorieen!$D:$E,2,0),"")</f>
        <v>Kleurrijk</v>
      </c>
      <c r="P57" s="0" t="str">
        <f aca="false">IFERROR(VLOOKUP(F57,categorieen!$D:$E,2,0),"")</f>
        <v>3 of 4 letters</v>
      </c>
      <c r="Q57" s="0" t="str">
        <f aca="false">IFERROR(VLOOKUP(G57,categorieen!$D:$E,2,0),"")</f>
        <v/>
      </c>
      <c r="R57" s="0" t="str">
        <f aca="false">IFERROR(VLOOKUP(H57,categorieen!$D:$E,2,0),"")</f>
        <v/>
      </c>
      <c r="S57" s="0" t="str">
        <f aca="false">IFERROR(VLOOKUP(I57,categorieen!$D:$E,2,0),"")</f>
        <v/>
      </c>
      <c r="T57" s="0" t="str">
        <f aca="false">IFERROR(VLOOKUP(J57,categorieen!$D:$E,2,0),"")</f>
        <v/>
      </c>
    </row>
    <row r="58" customFormat="false" ht="15" hidden="false" customHeight="false" outlineLevel="0" collapsed="false">
      <c r="A58" s="1" t="s">
        <v>85</v>
      </c>
      <c r="B58" s="2"/>
      <c r="C58" s="0" t="n">
        <v>22</v>
      </c>
      <c r="D58" s="0" t="n">
        <v>19</v>
      </c>
      <c r="E58" s="0" t="n">
        <v>29</v>
      </c>
      <c r="M58" s="0" t="str">
        <f aca="false">IFERROR(VLOOKUP(C58,categorieen!$D:$E,2,0),"")</f>
        <v>3x dezelfde letter</v>
      </c>
      <c r="N58" s="0" t="str">
        <f aca="false">IFERROR(VLOOKUP(D58,categorieen!$D:$E,2,0),"")</f>
        <v>Natuur</v>
      </c>
      <c r="O58" s="0" t="str">
        <f aca="false">IFERROR(VLOOKUP(E58,categorieen!$D:$E,2,0),"")</f>
        <v>Hilvarenbeek</v>
      </c>
      <c r="P58" s="0" t="str">
        <f aca="false">IFERROR(VLOOKUP(F58,categorieen!$D:$E,2,0),"")</f>
        <v/>
      </c>
      <c r="Q58" s="0" t="str">
        <f aca="false">IFERROR(VLOOKUP(G58,categorieen!$D:$E,2,0),"")</f>
        <v/>
      </c>
      <c r="R58" s="0" t="str">
        <f aca="false">IFERROR(VLOOKUP(H58,categorieen!$D:$E,2,0),"")</f>
        <v/>
      </c>
      <c r="S58" s="0" t="str">
        <f aca="false">IFERROR(VLOOKUP(I58,categorieen!$D:$E,2,0),"")</f>
        <v/>
      </c>
      <c r="T58" s="0" t="str">
        <f aca="false">IFERROR(VLOOKUP(J58,categorieen!$D:$E,2,0),"")</f>
        <v/>
      </c>
    </row>
    <row r="59" customFormat="false" ht="15" hidden="false" customHeight="false" outlineLevel="0" collapsed="false">
      <c r="A59" s="0" t="s">
        <v>86</v>
      </c>
      <c r="B59" s="2"/>
      <c r="C59" s="0" t="n">
        <v>37</v>
      </c>
      <c r="D59" s="0" t="n">
        <v>15</v>
      </c>
      <c r="E59" s="0" t="n">
        <v>30</v>
      </c>
      <c r="M59" s="0" t="str">
        <f aca="false">IFERROR(VLOOKUP(C59,categorieen!$D:$E,2,0),"")</f>
        <v>s Hertogenbosch (DB)</v>
      </c>
      <c r="N59" s="0" t="str">
        <f aca="false">IFERROR(VLOOKUP(D59,categorieen!$D:$E,2,0),"")</f>
        <v>Getal/Cijfer</v>
      </c>
      <c r="O59" s="0" t="str">
        <f aca="false">IFERROR(VLOOKUP(E59,categorieen!$D:$E,2,0),"")</f>
        <v>In de volksmond (IDV)</v>
      </c>
      <c r="P59" s="0" t="str">
        <f aca="false">IFERROR(VLOOKUP(F59,categorieen!$D:$E,2,0),"")</f>
        <v/>
      </c>
      <c r="Q59" s="0" t="str">
        <f aca="false">IFERROR(VLOOKUP(G59,categorieen!$D:$E,2,0),"")</f>
        <v/>
      </c>
      <c r="R59" s="0" t="str">
        <f aca="false">IFERROR(VLOOKUP(H59,categorieen!$D:$E,2,0),"")</f>
        <v/>
      </c>
      <c r="S59" s="0" t="str">
        <f aca="false">IFERROR(VLOOKUP(I59,categorieen!$D:$E,2,0),"")</f>
        <v/>
      </c>
      <c r="T59" s="0" t="str">
        <f aca="false">IFERROR(VLOOKUP(J59,categorieen!$D:$E,2,0),"")</f>
        <v/>
      </c>
    </row>
    <row r="60" customFormat="false" ht="15" hidden="false" customHeight="false" outlineLevel="0" collapsed="false">
      <c r="A60" s="0" t="s">
        <v>87</v>
      </c>
      <c r="B60" s="2"/>
      <c r="C60" s="0" t="n">
        <v>14</v>
      </c>
      <c r="D60" s="0" t="n">
        <v>19</v>
      </c>
      <c r="E60" s="0" t="n">
        <v>9</v>
      </c>
      <c r="F60" s="0" t="n">
        <v>16</v>
      </c>
      <c r="M60" s="0" t="str">
        <f aca="false">IFERROR(VLOOKUP(C60,categorieen!$D:$E,2,0),"")</f>
        <v>Kasteel</v>
      </c>
      <c r="N60" s="0" t="str">
        <f aca="false">IFERROR(VLOOKUP(D60,categorieen!$D:$E,2,0),"")</f>
        <v>Natuur</v>
      </c>
      <c r="O60" s="0" t="str">
        <f aca="false">IFERROR(VLOOKUP(E60,categorieen!$D:$E,2,0),"")</f>
        <v>Kiosk</v>
      </c>
      <c r="P60" s="0" t="str">
        <f aca="false">IFERROR(VLOOKUP(F60,categorieen!$D:$E,2,0),"")</f>
        <v>Buurtschap</v>
      </c>
      <c r="Q60" s="0" t="str">
        <f aca="false">IFERROR(VLOOKUP(G60,categorieen!$D:$E,2,0),"")</f>
        <v/>
      </c>
      <c r="R60" s="0" t="str">
        <f aca="false">IFERROR(VLOOKUP(H60,categorieen!$D:$E,2,0),"")</f>
        <v/>
      </c>
      <c r="S60" s="0" t="str">
        <f aca="false">IFERROR(VLOOKUP(I60,categorieen!$D:$E,2,0),"")</f>
        <v/>
      </c>
      <c r="T60" s="0" t="str">
        <f aca="false">IFERROR(VLOOKUP(J60,categorieen!$D:$E,2,0),"")</f>
        <v/>
      </c>
    </row>
    <row r="61" customFormat="false" ht="15" hidden="false" customHeight="false" outlineLevel="0" collapsed="false">
      <c r="A61" s="0" t="s">
        <v>88</v>
      </c>
      <c r="B61" s="2"/>
      <c r="C61" s="0" t="n">
        <v>21</v>
      </c>
      <c r="D61" s="0" t="n">
        <v>34</v>
      </c>
      <c r="M61" s="0" t="str">
        <f aca="false">IFERROR(VLOOKUP(C61,categorieen!$D:$E,2,0),"")</f>
        <v>West Brabant</v>
      </c>
      <c r="N61" s="0" t="str">
        <f aca="false">IFERROR(VLOOKUP(D61,categorieen!$D:$E,2,0),"")</f>
        <v>Met 4 Wieken</v>
      </c>
      <c r="O61" s="0" t="str">
        <f aca="false">IFERROR(VLOOKUP(E61,categorieen!$D:$E,2,0),"")</f>
        <v/>
      </c>
      <c r="P61" s="0" t="str">
        <f aca="false">IFERROR(VLOOKUP(F61,categorieen!$D:$E,2,0),"")</f>
        <v/>
      </c>
      <c r="Q61" s="0" t="str">
        <f aca="false">IFERROR(VLOOKUP(G61,categorieen!$D:$E,2,0),"")</f>
        <v/>
      </c>
      <c r="R61" s="0" t="str">
        <f aca="false">IFERROR(VLOOKUP(H61,categorieen!$D:$E,2,0),"")</f>
        <v/>
      </c>
      <c r="S61" s="0" t="str">
        <f aca="false">IFERROR(VLOOKUP(I61,categorieen!$D:$E,2,0),"")</f>
        <v/>
      </c>
      <c r="T61" s="0" t="str">
        <f aca="false">IFERROR(VLOOKUP(J61,categorieen!$D:$E,2,0),"")</f>
        <v/>
      </c>
    </row>
    <row r="62" customFormat="false" ht="15" hidden="false" customHeight="false" outlineLevel="0" collapsed="false">
      <c r="A62" s="0" t="s">
        <v>89</v>
      </c>
      <c r="B62" s="2"/>
      <c r="C62" s="0" t="n">
        <v>42</v>
      </c>
      <c r="D62" s="0" t="n">
        <v>14</v>
      </c>
      <c r="M62" s="0" t="str">
        <f aca="false">IFERROR(VLOOKUP(C62,categorieen!$D:$E,2,0),"")</f>
        <v>7 letters</v>
      </c>
      <c r="N62" s="0" t="str">
        <f aca="false">IFERROR(VLOOKUP(D62,categorieen!$D:$E,2,0),"")</f>
        <v>Kasteel</v>
      </c>
      <c r="O62" s="0" t="str">
        <f aca="false">IFERROR(VLOOKUP(E62,categorieen!$D:$E,2,0),"")</f>
        <v/>
      </c>
      <c r="P62" s="0" t="str">
        <f aca="false">IFERROR(VLOOKUP(F62,categorieen!$D:$E,2,0),"")</f>
        <v/>
      </c>
      <c r="Q62" s="0" t="str">
        <f aca="false">IFERROR(VLOOKUP(G62,categorieen!$D:$E,2,0),"")</f>
        <v/>
      </c>
      <c r="R62" s="0" t="str">
        <f aca="false">IFERROR(VLOOKUP(H62,categorieen!$D:$E,2,0),"")</f>
        <v/>
      </c>
      <c r="S62" s="0" t="str">
        <f aca="false">IFERROR(VLOOKUP(I62,categorieen!$D:$E,2,0),"")</f>
        <v/>
      </c>
      <c r="T62" s="0" t="str">
        <f aca="false">IFERROR(VLOOKUP(J62,categorieen!$D:$E,2,0),"")</f>
        <v/>
      </c>
    </row>
    <row r="63" customFormat="false" ht="15" hidden="false" customHeight="false" outlineLevel="0" collapsed="false">
      <c r="A63" s="0" t="s">
        <v>90</v>
      </c>
      <c r="B63" s="2"/>
      <c r="C63" s="0" t="n">
        <v>40</v>
      </c>
      <c r="D63" s="0" t="n">
        <v>30</v>
      </c>
      <c r="E63" s="0" t="n">
        <v>4</v>
      </c>
      <c r="M63" s="0" t="str">
        <f aca="false">IFERROR(VLOOKUP(C63,categorieen!$D:$E,2,0),"")</f>
        <v>Typisch Brabants (TB)</v>
      </c>
      <c r="N63" s="0" t="str">
        <f aca="false">IFERROR(VLOOKUP(D63,categorieen!$D:$E,2,0),"")</f>
        <v>In de volksmond (IDV)</v>
      </c>
      <c r="O63" s="0" t="str">
        <f aca="false">IFERROR(VLOOKUP(E63,categorieen!$D:$E,2,0),"")</f>
        <v>Zes letters</v>
      </c>
      <c r="P63" s="0" t="str">
        <f aca="false">IFERROR(VLOOKUP(F63,categorieen!$D:$E,2,0),"")</f>
        <v/>
      </c>
      <c r="Q63" s="0" t="str">
        <f aca="false">IFERROR(VLOOKUP(G63,categorieen!$D:$E,2,0),"")</f>
        <v/>
      </c>
      <c r="R63" s="0" t="str">
        <f aca="false">IFERROR(VLOOKUP(H63,categorieen!$D:$E,2,0),"")</f>
        <v/>
      </c>
      <c r="S63" s="0" t="str">
        <f aca="false">IFERROR(VLOOKUP(I63,categorieen!$D:$E,2,0),"")</f>
        <v/>
      </c>
      <c r="T63" s="0" t="str">
        <f aca="false">IFERROR(VLOOKUP(J63,categorieen!$D:$E,2,0),"")</f>
        <v/>
      </c>
    </row>
    <row r="64" customFormat="false" ht="15" hidden="false" customHeight="false" outlineLevel="0" collapsed="false">
      <c r="A64" s="5" t="s">
        <v>91</v>
      </c>
      <c r="B64" s="2"/>
      <c r="C64" s="1" t="n">
        <v>4</v>
      </c>
      <c r="D64" s="0" t="n">
        <v>25</v>
      </c>
      <c r="E64" s="0" t="n">
        <v>26</v>
      </c>
      <c r="M64" s="0" t="str">
        <f aca="false">IFERROR(VLOOKUP(C64,categorieen!$D:$E,2,0),"")</f>
        <v>Zes letters</v>
      </c>
      <c r="N64" s="0" t="str">
        <f aca="false">IFERROR(VLOOKUP(D64,categorieen!$D:$E,2,0),"")</f>
        <v>1 van de 8</v>
      </c>
      <c r="O64" s="0" t="str">
        <f aca="false">IFERROR(VLOOKUP(E64,categorieen!$D:$E,2,0),"")</f>
        <v>Eindigt op el</v>
      </c>
      <c r="P64" s="0" t="str">
        <f aca="false">IFERROR(VLOOKUP(F64,categorieen!$D:$E,2,0),"")</f>
        <v/>
      </c>
      <c r="Q64" s="0" t="str">
        <f aca="false">IFERROR(VLOOKUP(G64,categorieen!$D:$E,2,0),"")</f>
        <v/>
      </c>
      <c r="R64" s="0" t="str">
        <f aca="false">IFERROR(VLOOKUP(H64,categorieen!$D:$E,2,0),"")</f>
        <v/>
      </c>
      <c r="S64" s="0" t="str">
        <f aca="false">IFERROR(VLOOKUP(I64,categorieen!$D:$E,2,0),"")</f>
        <v/>
      </c>
      <c r="T64" s="0" t="str">
        <f aca="false">IFERROR(VLOOKUP(J64,categorieen!$D:$E,2,0),"")</f>
        <v/>
      </c>
    </row>
    <row r="65" customFormat="false" ht="15" hidden="false" customHeight="false" outlineLevel="0" collapsed="false">
      <c r="A65" s="0" t="s">
        <v>92</v>
      </c>
      <c r="B65" s="2" t="s">
        <v>93</v>
      </c>
      <c r="C65" s="0" t="n">
        <v>38</v>
      </c>
      <c r="D65" s="0" t="n">
        <v>5</v>
      </c>
      <c r="E65" s="0" t="n">
        <v>13</v>
      </c>
      <c r="F65" s="0" t="n">
        <v>8</v>
      </c>
      <c r="M65" s="0" t="str">
        <f aca="false">IFERROR(VLOOKUP(C65,categorieen!$D:$E,2,0),"")</f>
        <v>Sport</v>
      </c>
      <c r="N65" s="0" t="str">
        <f aca="false">IFERROR(VLOOKUP(D65,categorieen!$D:$E,2,0),"")</f>
        <v>Bekende Brabanders</v>
      </c>
      <c r="O65" s="0" t="str">
        <f aca="false">IFERROR(VLOOKUP(E65,categorieen!$D:$E,2,0),"")</f>
        <v>Met dubbel T</v>
      </c>
      <c r="P65" s="0" t="str">
        <f aca="false">IFERROR(VLOOKUP(F65,categorieen!$D:$E,2,0),"")</f>
        <v>040 (Eindhoven)</v>
      </c>
      <c r="Q65" s="0" t="str">
        <f aca="false">IFERROR(VLOOKUP(G65,categorieen!$D:$E,2,0),"")</f>
        <v/>
      </c>
      <c r="R65" s="0" t="str">
        <f aca="false">IFERROR(VLOOKUP(H65,categorieen!$D:$E,2,0),"")</f>
        <v/>
      </c>
      <c r="S65" s="0" t="str">
        <f aca="false">IFERROR(VLOOKUP(I65,categorieen!$D:$E,2,0),"")</f>
        <v/>
      </c>
      <c r="T65" s="0" t="str">
        <f aca="false">IFERROR(VLOOKUP(J65,categorieen!$D:$E,2,0),"")</f>
        <v/>
      </c>
    </row>
    <row r="66" customFormat="false" ht="15" hidden="false" customHeight="false" outlineLevel="0" collapsed="false">
      <c r="A66" s="0" t="s">
        <v>94</v>
      </c>
      <c r="B66" s="2"/>
      <c r="C66" s="0" t="n">
        <v>41</v>
      </c>
      <c r="D66" s="0" t="n">
        <v>8</v>
      </c>
      <c r="E66" s="0" t="n">
        <v>12</v>
      </c>
      <c r="F66" s="0" t="n">
        <v>19</v>
      </c>
      <c r="M66" s="0" t="str">
        <f aca="false">IFERROR(VLOOKUP(C66,categorieen!$D:$E,2,0),"")</f>
        <v>Vught</v>
      </c>
      <c r="N66" s="0" t="str">
        <f aca="false">IFERROR(VLOOKUP(D66,categorieen!$D:$E,2,0),"")</f>
        <v>040 (Eindhoven)</v>
      </c>
      <c r="O66" s="0" t="str">
        <f aca="false">IFERROR(VLOOKUP(E66,categorieen!$D:$E,2,0),"")</f>
        <v>Water</v>
      </c>
      <c r="P66" s="0" t="str">
        <f aca="false">IFERROR(VLOOKUP(F66,categorieen!$D:$E,2,0),"")</f>
        <v>Natuur</v>
      </c>
      <c r="Q66" s="0" t="str">
        <f aca="false">IFERROR(VLOOKUP(G66,categorieen!$D:$E,2,0),"")</f>
        <v/>
      </c>
      <c r="R66" s="0" t="str">
        <f aca="false">IFERROR(VLOOKUP(H66,categorieen!$D:$E,2,0),"")</f>
        <v/>
      </c>
      <c r="S66" s="0" t="str">
        <f aca="false">IFERROR(VLOOKUP(I66,categorieen!$D:$E,2,0),"")</f>
        <v/>
      </c>
      <c r="T66" s="0" t="str">
        <f aca="false">IFERROR(VLOOKUP(J66,categorieen!$D:$E,2,0),"")</f>
        <v/>
      </c>
    </row>
    <row r="67" customFormat="false" ht="15" hidden="false" customHeight="false" outlineLevel="0" collapsed="false">
      <c r="A67" s="0" t="s">
        <v>95</v>
      </c>
      <c r="B67" s="2"/>
      <c r="C67" s="0" t="n">
        <v>20</v>
      </c>
      <c r="D67" s="0" t="n">
        <v>31</v>
      </c>
      <c r="E67" s="0" t="n">
        <v>35</v>
      </c>
      <c r="M67" s="0" t="str">
        <f aca="false">IFERROR(VLOOKUP(C67,categorieen!$D:$E,2,0),"")</f>
        <v>Festival</v>
      </c>
      <c r="N67" s="0" t="str">
        <f aca="false">IFERROR(VLOOKUP(D67,categorieen!$D:$E,2,0),"")</f>
        <v>Kleurrijk</v>
      </c>
      <c r="O67" s="0" t="str">
        <f aca="false">IFERROR(VLOOKUP(E67,categorieen!$D:$E,2,0),"")</f>
        <v>Parel in het Groen (PITG)</v>
      </c>
      <c r="P67" s="0" t="str">
        <f aca="false">IFERROR(VLOOKUP(F67,categorieen!$D:$E,2,0),"")</f>
        <v/>
      </c>
      <c r="Q67" s="0" t="str">
        <f aca="false">IFERROR(VLOOKUP(G67,categorieen!$D:$E,2,0),"")</f>
        <v/>
      </c>
      <c r="R67" s="0" t="str">
        <f aca="false">IFERROR(VLOOKUP(H67,categorieen!$D:$E,2,0),"")</f>
        <v/>
      </c>
      <c r="S67" s="0" t="str">
        <f aca="false">IFERROR(VLOOKUP(I67,categorieen!$D:$E,2,0),"")</f>
        <v/>
      </c>
      <c r="T67" s="0" t="str">
        <f aca="false">IFERROR(VLOOKUP(J67,categorieen!$D:$E,2,0),"")</f>
        <v/>
      </c>
    </row>
    <row r="68" customFormat="false" ht="15" hidden="false" customHeight="false" outlineLevel="0" collapsed="false">
      <c r="A68" s="0" t="s">
        <v>96</v>
      </c>
      <c r="B68" s="2" t="s">
        <v>97</v>
      </c>
      <c r="C68" s="0" t="n">
        <v>41</v>
      </c>
      <c r="D68" s="0" t="n">
        <v>27</v>
      </c>
      <c r="M68" s="0" t="str">
        <f aca="false">IFERROR(VLOOKUP(C68,categorieen!$D:$E,2,0),"")</f>
        <v>Vught</v>
      </c>
      <c r="N68" s="0" t="str">
        <f aca="false">IFERROR(VLOOKUP(D68,categorieen!$D:$E,2,0),"")</f>
        <v>Eten en Drinken (ED)</v>
      </c>
      <c r="O68" s="0" t="str">
        <f aca="false">IFERROR(VLOOKUP(E68,categorieen!$D:$E,2,0),"")</f>
        <v/>
      </c>
      <c r="P68" s="0" t="str">
        <f aca="false">IFERROR(VLOOKUP(F68,categorieen!$D:$E,2,0),"")</f>
        <v/>
      </c>
      <c r="Q68" s="0" t="str">
        <f aca="false">IFERROR(VLOOKUP(G68,categorieen!$D:$E,2,0),"")</f>
        <v/>
      </c>
      <c r="R68" s="0" t="str">
        <f aca="false">IFERROR(VLOOKUP(H68,categorieen!$D:$E,2,0),"")</f>
        <v/>
      </c>
      <c r="S68" s="0" t="str">
        <f aca="false">IFERROR(VLOOKUP(I68,categorieen!$D:$E,2,0),"")</f>
        <v/>
      </c>
      <c r="T68" s="0" t="str">
        <f aca="false">IFERROR(VLOOKUP(J68,categorieen!$D:$E,2,0),"")</f>
        <v/>
      </c>
    </row>
    <row r="69" customFormat="false" ht="30" hidden="false" customHeight="false" outlineLevel="0" collapsed="false">
      <c r="A69" s="0" t="s">
        <v>98</v>
      </c>
      <c r="B69" s="2" t="s">
        <v>99</v>
      </c>
      <c r="C69" s="0" t="n">
        <v>38</v>
      </c>
      <c r="D69" s="0" t="n">
        <v>5</v>
      </c>
      <c r="E69" s="0" t="n">
        <v>18</v>
      </c>
      <c r="M69" s="0" t="str">
        <f aca="false">IFERROR(VLOOKUP(C69,categorieen!$D:$E,2,0),"")</f>
        <v>Sport</v>
      </c>
      <c r="N69" s="0" t="str">
        <f aca="false">IFERROR(VLOOKUP(D69,categorieen!$D:$E,2,0),"")</f>
        <v>Bekende Brabanders</v>
      </c>
      <c r="O69" s="0" t="str">
        <f aca="false">IFERROR(VLOOKUP(E69,categorieen!$D:$E,2,0),"")</f>
        <v>Willem II</v>
      </c>
      <c r="P69" s="0" t="str">
        <f aca="false">IFERROR(VLOOKUP(F69,categorieen!$D:$E,2,0),"")</f>
        <v/>
      </c>
      <c r="Q69" s="0" t="str">
        <f aca="false">IFERROR(VLOOKUP(G69,categorieen!$D:$E,2,0),"")</f>
        <v/>
      </c>
      <c r="R69" s="0" t="str">
        <f aca="false">IFERROR(VLOOKUP(H69,categorieen!$D:$E,2,0),"")</f>
        <v/>
      </c>
      <c r="S69" s="0" t="str">
        <f aca="false">IFERROR(VLOOKUP(I69,categorieen!$D:$E,2,0),"")</f>
        <v/>
      </c>
      <c r="T69" s="0" t="str">
        <f aca="false">IFERROR(VLOOKUP(J69,categorieen!$D:$E,2,0),"")</f>
        <v/>
      </c>
    </row>
    <row r="70" customFormat="false" ht="15" hidden="false" customHeight="false" outlineLevel="0" collapsed="false">
      <c r="A70" s="0" t="s">
        <v>100</v>
      </c>
      <c r="C70" s="0" t="n">
        <v>35</v>
      </c>
      <c r="D70" s="0" t="n">
        <v>42</v>
      </c>
      <c r="E70" s="0" t="n">
        <v>2</v>
      </c>
      <c r="F70" s="0" t="n">
        <v>19</v>
      </c>
      <c r="M70" s="0" t="str">
        <f aca="false">IFERROR(VLOOKUP(C70,categorieen!$D:$E,2,0),"")</f>
        <v>Parel in het Groen (PITG)</v>
      </c>
      <c r="N70" s="0" t="str">
        <f aca="false">IFERROR(VLOOKUP(D70,categorieen!$D:$E,2,0),"")</f>
        <v>7 letters</v>
      </c>
      <c r="O70" s="0" t="str">
        <f aca="false">IFERROR(VLOOKUP(E70,categorieen!$D:$E,2,0),"")</f>
        <v>(stand)beeld / (Rijks)monument</v>
      </c>
      <c r="P70" s="0" t="str">
        <f aca="false">IFERROR(VLOOKUP(F70,categorieen!$D:$E,2,0),"")</f>
        <v>Natuur</v>
      </c>
      <c r="Q70" s="0" t="str">
        <f aca="false">IFERROR(VLOOKUP(G70,categorieen!$D:$E,2,0),"")</f>
        <v/>
      </c>
      <c r="R70" s="0" t="str">
        <f aca="false">IFERROR(VLOOKUP(H70,categorieen!$D:$E,2,0),"")</f>
        <v/>
      </c>
      <c r="S70" s="0" t="str">
        <f aca="false">IFERROR(VLOOKUP(I70,categorieen!$D:$E,2,0),"")</f>
        <v/>
      </c>
      <c r="T70" s="0" t="str">
        <f aca="false">IFERROR(VLOOKUP(J70,categorieen!$D:$E,2,0),"")</f>
        <v/>
      </c>
    </row>
    <row r="71" customFormat="false" ht="15" hidden="false" customHeight="false" outlineLevel="0" collapsed="false">
      <c r="A71" s="0" t="s">
        <v>101</v>
      </c>
      <c r="C71" s="0" t="n">
        <v>25</v>
      </c>
      <c r="D71" s="0" t="n">
        <v>42</v>
      </c>
      <c r="E71" s="0" t="n">
        <v>26</v>
      </c>
      <c r="M71" s="0" t="str">
        <f aca="false">IFERROR(VLOOKUP(C71,categorieen!$D:$E,2,0),"")</f>
        <v>1 van de 8</v>
      </c>
      <c r="N71" s="0" t="str">
        <f aca="false">IFERROR(VLOOKUP(D71,categorieen!$D:$E,2,0),"")</f>
        <v>7 letters</v>
      </c>
      <c r="O71" s="0" t="str">
        <f aca="false">IFERROR(VLOOKUP(E71,categorieen!$D:$E,2,0),"")</f>
        <v>Eindigt op el</v>
      </c>
      <c r="P71" s="0" t="str">
        <f aca="false">IFERROR(VLOOKUP(F71,categorieen!$D:$E,2,0),"")</f>
        <v/>
      </c>
      <c r="Q71" s="0" t="str">
        <f aca="false">IFERROR(VLOOKUP(G71,categorieen!$D:$E,2,0),"")</f>
        <v/>
      </c>
      <c r="R71" s="0" t="str">
        <f aca="false">IFERROR(VLOOKUP(H71,categorieen!$D:$E,2,0),"")</f>
        <v/>
      </c>
      <c r="S71" s="0" t="str">
        <f aca="false">IFERROR(VLOOKUP(I71,categorieen!$D:$E,2,0),"")</f>
        <v/>
      </c>
      <c r="T71" s="0" t="str">
        <f aca="false">IFERROR(VLOOKUP(J71,categorieen!$D:$E,2,0),"")</f>
        <v/>
      </c>
    </row>
    <row r="72" customFormat="false" ht="15" hidden="false" customHeight="false" outlineLevel="0" collapsed="false">
      <c r="A72" s="0" t="s">
        <v>102</v>
      </c>
      <c r="B72" s="0" t="s">
        <v>103</v>
      </c>
      <c r="C72" s="0" t="n">
        <v>7</v>
      </c>
      <c r="D72" s="0" t="n">
        <v>11</v>
      </c>
      <c r="E72" s="0" t="n">
        <v>22</v>
      </c>
      <c r="M72" s="0" t="str">
        <f aca="false">IFERROR(VLOOKUP(C72,categorieen!$D:$E,2,0),"")</f>
        <v>Alaaf</v>
      </c>
      <c r="N72" s="0" t="str">
        <f aca="false">IFERROR(VLOOKUP(D72,categorieen!$D:$E,2,0),"")</f>
        <v>Tilburg</v>
      </c>
      <c r="O72" s="0" t="str">
        <f aca="false">IFERROR(VLOOKUP(E72,categorieen!$D:$E,2,0),"")</f>
        <v>3x dezelfde letter</v>
      </c>
      <c r="P72" s="0" t="str">
        <f aca="false">IFERROR(VLOOKUP(F72,categorieen!$D:$E,2,0),"")</f>
        <v/>
      </c>
      <c r="Q72" s="0" t="str">
        <f aca="false">IFERROR(VLOOKUP(G72,categorieen!$D:$E,2,0),"")</f>
        <v/>
      </c>
      <c r="R72" s="0" t="str">
        <f aca="false">IFERROR(VLOOKUP(H72,categorieen!$D:$E,2,0),"")</f>
        <v/>
      </c>
      <c r="S72" s="0" t="str">
        <f aca="false">IFERROR(VLOOKUP(I72,categorieen!$D:$E,2,0),"")</f>
        <v/>
      </c>
      <c r="T72" s="0" t="str">
        <f aca="false">IFERROR(VLOOKUP(J72,categorieen!$D:$E,2,0),"")</f>
        <v/>
      </c>
    </row>
    <row r="73" customFormat="false" ht="15" hidden="false" customHeight="false" outlineLevel="0" collapsed="false">
      <c r="A73" s="0" t="s">
        <v>104</v>
      </c>
      <c r="C73" s="0" t="n">
        <v>24</v>
      </c>
      <c r="D73" s="0" t="n">
        <v>35</v>
      </c>
      <c r="E73" s="0" t="n">
        <v>43</v>
      </c>
      <c r="M73" s="0" t="str">
        <f aca="false">IFERROR(VLOOKUP(C73,categorieen!$D:$E,2,0),"")</f>
        <v>3 of 4 letters</v>
      </c>
      <c r="N73" s="0" t="str">
        <f aca="false">IFERROR(VLOOKUP(D73,categorieen!$D:$E,2,0),"")</f>
        <v>Parel in het Groen (PITG)</v>
      </c>
      <c r="O73" s="0" t="str">
        <f aca="false">IFERROR(VLOOKUP(E73,categorieen!$D:$E,2,0),"")</f>
        <v>Dierlijk</v>
      </c>
      <c r="P73" s="0" t="str">
        <f aca="false">IFERROR(VLOOKUP(F73,categorieen!$D:$E,2,0),"")</f>
        <v/>
      </c>
      <c r="Q73" s="0" t="str">
        <f aca="false">IFERROR(VLOOKUP(G73,categorieen!$D:$E,2,0),"")</f>
        <v/>
      </c>
      <c r="R73" s="0" t="str">
        <f aca="false">IFERROR(VLOOKUP(H73,categorieen!$D:$E,2,0),"")</f>
        <v/>
      </c>
      <c r="S73" s="0" t="str">
        <f aca="false">IFERROR(VLOOKUP(I73,categorieen!$D:$E,2,0),"")</f>
        <v/>
      </c>
      <c r="T73" s="0" t="str">
        <f aca="false">IFERROR(VLOOKUP(J73,categorieen!$D:$E,2,0),"")</f>
        <v/>
      </c>
    </row>
    <row r="74" customFormat="false" ht="15" hidden="false" customHeight="false" outlineLevel="0" collapsed="false">
      <c r="A74" s="0" t="s">
        <v>105</v>
      </c>
      <c r="B74" s="0" t="s">
        <v>106</v>
      </c>
      <c r="C74" s="0" t="n">
        <v>7</v>
      </c>
      <c r="D74" s="0" t="n">
        <v>8</v>
      </c>
      <c r="E74" s="0" t="n">
        <v>40</v>
      </c>
      <c r="M74" s="0" t="str">
        <f aca="false">IFERROR(VLOOKUP(C74,categorieen!$D:$E,2,0),"")</f>
        <v>Alaaf</v>
      </c>
      <c r="N74" s="0" t="str">
        <f aca="false">IFERROR(VLOOKUP(D74,categorieen!$D:$E,2,0),"")</f>
        <v>040 (Eindhoven)</v>
      </c>
      <c r="O74" s="0" t="str">
        <f aca="false">IFERROR(VLOOKUP(E74,categorieen!$D:$E,2,0),"")</f>
        <v>Typisch Brabants (TB)</v>
      </c>
      <c r="P74" s="0" t="str">
        <f aca="false">IFERROR(VLOOKUP(F74,categorieen!$D:$E,2,0),"")</f>
        <v/>
      </c>
      <c r="Q74" s="0" t="str">
        <f aca="false">IFERROR(VLOOKUP(G74,categorieen!$D:$E,2,0),"")</f>
        <v/>
      </c>
      <c r="R74" s="0" t="str">
        <f aca="false">IFERROR(VLOOKUP(H74,categorieen!$D:$E,2,0),"")</f>
        <v/>
      </c>
      <c r="S74" s="0" t="str">
        <f aca="false">IFERROR(VLOOKUP(I74,categorieen!$D:$E,2,0),"")</f>
        <v/>
      </c>
      <c r="T74" s="0" t="str">
        <f aca="false">IFERROR(VLOOKUP(J74,categorieen!$D:$E,2,0),"")</f>
        <v/>
      </c>
    </row>
    <row r="75" customFormat="false" ht="15" hidden="false" customHeight="false" outlineLevel="0" collapsed="false">
      <c r="A75" s="0" t="s">
        <v>107</v>
      </c>
      <c r="C75" s="0" t="n">
        <v>22</v>
      </c>
      <c r="D75" s="0" t="n">
        <v>27</v>
      </c>
      <c r="E75" s="0" t="n">
        <v>35</v>
      </c>
      <c r="M75" s="0" t="str">
        <f aca="false">IFERROR(VLOOKUP(C75,categorieen!$D:$E,2,0),"")</f>
        <v>3x dezelfde letter</v>
      </c>
      <c r="N75" s="0" t="str">
        <f aca="false">IFERROR(VLOOKUP(D75,categorieen!$D:$E,2,0),"")</f>
        <v>Eten en Drinken (ED)</v>
      </c>
      <c r="O75" s="0" t="str">
        <f aca="false">IFERROR(VLOOKUP(E75,categorieen!$D:$E,2,0),"")</f>
        <v>Parel in het Groen (PITG)</v>
      </c>
      <c r="P75" s="0" t="str">
        <f aca="false">IFERROR(VLOOKUP(F75,categorieen!$D:$E,2,0),"")</f>
        <v/>
      </c>
      <c r="Q75" s="0" t="str">
        <f aca="false">IFERROR(VLOOKUP(G75,categorieen!$D:$E,2,0),"")</f>
        <v/>
      </c>
      <c r="R75" s="0" t="str">
        <f aca="false">IFERROR(VLOOKUP(H75,categorieen!$D:$E,2,0),"")</f>
        <v/>
      </c>
      <c r="S75" s="0" t="str">
        <f aca="false">IFERROR(VLOOKUP(I75,categorieen!$D:$E,2,0),"")</f>
        <v/>
      </c>
      <c r="T75" s="0" t="str">
        <f aca="false">IFERROR(VLOOKUP(J75,categorieen!$D:$E,2,0),"")</f>
        <v/>
      </c>
    </row>
    <row r="76" customFormat="false" ht="15" hidden="false" customHeight="false" outlineLevel="0" collapsed="false">
      <c r="A76" s="0" t="s">
        <v>108</v>
      </c>
      <c r="C76" s="0" t="n">
        <v>24</v>
      </c>
      <c r="D76" s="0" t="n">
        <v>33</v>
      </c>
      <c r="E76" s="0" t="n">
        <v>32</v>
      </c>
      <c r="F76" s="0" t="n">
        <v>16</v>
      </c>
      <c r="M76" s="0" t="str">
        <f aca="false">IFERROR(VLOOKUP(C76,categorieen!$D:$E,2,0),"")</f>
        <v>3 of 4 letters</v>
      </c>
      <c r="N76" s="0" t="str">
        <f aca="false">IFERROR(VLOOKUP(D76,categorieen!$D:$E,2,0),"")</f>
        <v>076 (Breda)</v>
      </c>
      <c r="O76" s="0" t="str">
        <f aca="false">IFERROR(VLOOKUP(E76,categorieen!$D:$E,2,0),"")</f>
        <v>Met ie</v>
      </c>
      <c r="P76" s="0" t="str">
        <f aca="false">IFERROR(VLOOKUP(F76,categorieen!$D:$E,2,0),"")</f>
        <v>Buurtschap</v>
      </c>
      <c r="Q76" s="0" t="str">
        <f aca="false">IFERROR(VLOOKUP(G76,categorieen!$D:$E,2,0),"")</f>
        <v/>
      </c>
      <c r="R76" s="0" t="str">
        <f aca="false">IFERROR(VLOOKUP(H76,categorieen!$D:$E,2,0),"")</f>
        <v/>
      </c>
      <c r="S76" s="0" t="str">
        <f aca="false">IFERROR(VLOOKUP(I76,categorieen!$D:$E,2,0),"")</f>
        <v/>
      </c>
      <c r="T76" s="0" t="str">
        <f aca="false">IFERROR(VLOOKUP(J76,categorieen!$D:$E,2,0),"")</f>
        <v/>
      </c>
    </row>
    <row r="77" customFormat="false" ht="15" hidden="false" customHeight="false" outlineLevel="0" collapsed="false">
      <c r="A77" s="0" t="s">
        <v>109</v>
      </c>
      <c r="C77" s="0" t="n">
        <v>42</v>
      </c>
      <c r="D77" s="0" t="n">
        <v>17</v>
      </c>
      <c r="E77" s="0" t="n">
        <v>32</v>
      </c>
      <c r="F77" s="0" t="n">
        <v>1</v>
      </c>
      <c r="M77" s="0" t="str">
        <f aca="false">IFERROR(VLOOKUP(C77,categorieen!$D:$E,2,0),"")</f>
        <v>7 letters</v>
      </c>
      <c r="N77" s="0" t="str">
        <f aca="false">IFERROR(VLOOKUP(D77,categorieen!$D:$E,2,0),"")</f>
        <v>Met dubbel s</v>
      </c>
      <c r="O77" s="0" t="str">
        <f aca="false">IFERROR(VLOOKUP(E77,categorieen!$D:$E,2,0),"")</f>
        <v>Met ie</v>
      </c>
      <c r="P77" s="0" t="str">
        <f aca="false">IFERROR(VLOOKUP(F77,categorieen!$D:$E,2,0),"")</f>
        <v>Eerste- en Eindletter hetzelfde</v>
      </c>
      <c r="Q77" s="0" t="str">
        <f aca="false">IFERROR(VLOOKUP(G77,categorieen!$D:$E,2,0),"")</f>
        <v/>
      </c>
      <c r="R77" s="0" t="str">
        <f aca="false">IFERROR(VLOOKUP(H77,categorieen!$D:$E,2,0),"")</f>
        <v/>
      </c>
      <c r="S77" s="0" t="str">
        <f aca="false">IFERROR(VLOOKUP(I77,categorieen!$D:$E,2,0),"")</f>
        <v/>
      </c>
      <c r="T77" s="0" t="str">
        <f aca="false">IFERROR(VLOOKUP(J77,categorieen!$D:$E,2,0),"")</f>
        <v/>
      </c>
    </row>
    <row r="78" customFormat="false" ht="15" hidden="false" customHeight="false" outlineLevel="0" collapsed="false">
      <c r="A78" s="0" t="s">
        <v>110</v>
      </c>
      <c r="C78" s="0" t="n">
        <v>13</v>
      </c>
      <c r="D78" s="0" t="n">
        <v>41</v>
      </c>
      <c r="M78" s="0" t="str">
        <f aca="false">IFERROR(VLOOKUP(C78,categorieen!$D:$E,2,0),"")</f>
        <v>Met dubbel T</v>
      </c>
      <c r="N78" s="0" t="str">
        <f aca="false">IFERROR(VLOOKUP(D78,categorieen!$D:$E,2,0),"")</f>
        <v>Vught</v>
      </c>
      <c r="O78" s="0" t="str">
        <f aca="false">IFERROR(VLOOKUP(E78,categorieen!$D:$E,2,0),"")</f>
        <v/>
      </c>
      <c r="P78" s="0" t="str">
        <f aca="false">IFERROR(VLOOKUP(F78,categorieen!$D:$E,2,0),"")</f>
        <v/>
      </c>
      <c r="Q78" s="0" t="str">
        <f aca="false">IFERROR(VLOOKUP(G78,categorieen!$D:$E,2,0),"")</f>
        <v/>
      </c>
      <c r="R78" s="0" t="str">
        <f aca="false">IFERROR(VLOOKUP(H78,categorieen!$D:$E,2,0),"")</f>
        <v/>
      </c>
      <c r="S78" s="0" t="str">
        <f aca="false">IFERROR(VLOOKUP(I78,categorieen!$D:$E,2,0),"")</f>
        <v/>
      </c>
      <c r="T78" s="0" t="str">
        <f aca="false">IFERROR(VLOOKUP(J78,categorieen!$D:$E,2,0),"")</f>
        <v/>
      </c>
    </row>
    <row r="79" customFormat="false" ht="15" hidden="false" customHeight="false" outlineLevel="0" collapsed="false">
      <c r="A79" s="0" t="s">
        <v>111</v>
      </c>
      <c r="C79" s="0" t="n">
        <v>42</v>
      </c>
      <c r="D79" s="0" t="n">
        <v>14</v>
      </c>
      <c r="E79" s="0" t="n">
        <v>41</v>
      </c>
      <c r="M79" s="0" t="str">
        <f aca="false">IFERROR(VLOOKUP(C79,categorieen!$D:$E,2,0),"")</f>
        <v>7 letters</v>
      </c>
      <c r="N79" s="0" t="str">
        <f aca="false">IFERROR(VLOOKUP(D79,categorieen!$D:$E,2,0),"")</f>
        <v>Kasteel</v>
      </c>
      <c r="O79" s="0" t="str">
        <f aca="false">IFERROR(VLOOKUP(E79,categorieen!$D:$E,2,0),"")</f>
        <v>Vught</v>
      </c>
      <c r="P79" s="0" t="str">
        <f aca="false">IFERROR(VLOOKUP(F79,categorieen!$D:$E,2,0),"")</f>
        <v/>
      </c>
      <c r="Q79" s="0" t="str">
        <f aca="false">IFERROR(VLOOKUP(G79,categorieen!$D:$E,2,0),"")</f>
        <v/>
      </c>
      <c r="R79" s="0" t="str">
        <f aca="false">IFERROR(VLOOKUP(H79,categorieen!$D:$E,2,0),"")</f>
        <v/>
      </c>
      <c r="S79" s="0" t="str">
        <f aca="false">IFERROR(VLOOKUP(I79,categorieen!$D:$E,2,0),"")</f>
        <v/>
      </c>
      <c r="T79" s="0" t="str">
        <f aca="false">IFERROR(VLOOKUP(J79,categorieen!$D:$E,2,0),"")</f>
        <v/>
      </c>
    </row>
    <row r="80" customFormat="false" ht="15" hidden="false" customHeight="false" outlineLevel="0" collapsed="false">
      <c r="A80" s="0" t="s">
        <v>112</v>
      </c>
      <c r="C80" s="0" t="n">
        <v>38</v>
      </c>
      <c r="D80" s="0" t="n">
        <v>5</v>
      </c>
      <c r="E80" s="0" t="n">
        <v>22</v>
      </c>
      <c r="M80" s="0" t="str">
        <f aca="false">IFERROR(VLOOKUP(C80,categorieen!$D:$E,2,0),"")</f>
        <v>Sport</v>
      </c>
      <c r="N80" s="0" t="str">
        <f aca="false">IFERROR(VLOOKUP(D80,categorieen!$D:$E,2,0),"")</f>
        <v>Bekende Brabanders</v>
      </c>
      <c r="O80" s="0" t="str">
        <f aca="false">IFERROR(VLOOKUP(E80,categorieen!$D:$E,2,0),"")</f>
        <v>3x dezelfde letter</v>
      </c>
      <c r="P80" s="0" t="str">
        <f aca="false">IFERROR(VLOOKUP(F80,categorieen!$D:$E,2,0),"")</f>
        <v/>
      </c>
      <c r="Q80" s="0" t="str">
        <f aca="false">IFERROR(VLOOKUP(G80,categorieen!$D:$E,2,0),"")</f>
        <v/>
      </c>
      <c r="R80" s="0" t="str">
        <f aca="false">IFERROR(VLOOKUP(H80,categorieen!$D:$E,2,0),"")</f>
        <v/>
      </c>
      <c r="S80" s="0" t="str">
        <f aca="false">IFERROR(VLOOKUP(I80,categorieen!$D:$E,2,0),"")</f>
        <v/>
      </c>
      <c r="T80" s="0" t="str">
        <f aca="false">IFERROR(VLOOKUP(J80,categorieen!$D:$E,2,0),"")</f>
        <v/>
      </c>
    </row>
    <row r="81" customFormat="false" ht="15" hidden="false" customHeight="false" outlineLevel="0" collapsed="false">
      <c r="A81" s="0" t="s">
        <v>113</v>
      </c>
      <c r="C81" s="0" t="n">
        <v>19</v>
      </c>
      <c r="D81" s="0" t="n">
        <v>37</v>
      </c>
      <c r="E81" s="0" t="n">
        <v>13</v>
      </c>
      <c r="F81" s="0" t="n">
        <v>12</v>
      </c>
      <c r="M81" s="0" t="str">
        <f aca="false">IFERROR(VLOOKUP(C81,categorieen!$D:$E,2,0),"")</f>
        <v>Natuur</v>
      </c>
      <c r="N81" s="0" t="str">
        <f aca="false">IFERROR(VLOOKUP(D81,categorieen!$D:$E,2,0),"")</f>
        <v>s Hertogenbosch (DB)</v>
      </c>
      <c r="O81" s="0" t="str">
        <f aca="false">IFERROR(VLOOKUP(E81,categorieen!$D:$E,2,0),"")</f>
        <v>Met dubbel T</v>
      </c>
      <c r="P81" s="0" t="str">
        <f aca="false">IFERROR(VLOOKUP(F81,categorieen!$D:$E,2,0),"")</f>
        <v>Water</v>
      </c>
      <c r="Q81" s="0" t="str">
        <f aca="false">IFERROR(VLOOKUP(G81,categorieen!$D:$E,2,0),"")</f>
        <v/>
      </c>
      <c r="R81" s="0" t="str">
        <f aca="false">IFERROR(VLOOKUP(H81,categorieen!$D:$E,2,0),"")</f>
        <v/>
      </c>
      <c r="S81" s="0" t="str">
        <f aca="false">IFERROR(VLOOKUP(I81,categorieen!$D:$E,2,0),"")</f>
        <v/>
      </c>
      <c r="T81" s="0" t="str">
        <f aca="false">IFERROR(VLOOKUP(J81,categorieen!$D:$E,2,0),"")</f>
        <v/>
      </c>
    </row>
    <row r="82" customFormat="false" ht="15" hidden="false" customHeight="false" outlineLevel="0" collapsed="false">
      <c r="A82" s="0" t="s">
        <v>114</v>
      </c>
      <c r="C82" s="0" t="n">
        <v>24</v>
      </c>
      <c r="D82" s="0" t="n">
        <v>38</v>
      </c>
      <c r="E82" s="0" t="n">
        <v>33</v>
      </c>
      <c r="F82" s="0" t="n">
        <v>23</v>
      </c>
      <c r="M82" s="0" t="str">
        <f aca="false">IFERROR(VLOOKUP(C82,categorieen!$D:$E,2,0),"")</f>
        <v>3 of 4 letters</v>
      </c>
      <c r="N82" s="0" t="str">
        <f aca="false">IFERROR(VLOOKUP(D82,categorieen!$D:$E,2,0),"")</f>
        <v>Sport</v>
      </c>
      <c r="O82" s="0" t="str">
        <f aca="false">IFERROR(VLOOKUP(E82,categorieen!$D:$E,2,0),"")</f>
        <v>076 (Breda)</v>
      </c>
      <c r="P82" s="0" t="str">
        <f aca="false">IFERROR(VLOOKUP(F82,categorieen!$D:$E,2,0),"")</f>
        <v>Begint met N</v>
      </c>
      <c r="Q82" s="0" t="str">
        <f aca="false">IFERROR(VLOOKUP(G82,categorieen!$D:$E,2,0),"")</f>
        <v/>
      </c>
      <c r="R82" s="0" t="str">
        <f aca="false">IFERROR(VLOOKUP(H82,categorieen!$D:$E,2,0),"")</f>
        <v/>
      </c>
      <c r="S82" s="0" t="str">
        <f aca="false">IFERROR(VLOOKUP(I82,categorieen!$D:$E,2,0),"")</f>
        <v/>
      </c>
      <c r="T82" s="0" t="str">
        <f aca="false">IFERROR(VLOOKUP(J82,categorieen!$D:$E,2,0),"")</f>
        <v/>
      </c>
    </row>
    <row r="83" customFormat="false" ht="15" hidden="false" customHeight="false" outlineLevel="0" collapsed="false">
      <c r="A83" s="0" t="s">
        <v>115</v>
      </c>
      <c r="C83" s="0" t="n">
        <v>14</v>
      </c>
      <c r="D83" s="0" t="n">
        <v>23</v>
      </c>
      <c r="E83" s="0" t="n">
        <v>2</v>
      </c>
      <c r="M83" s="0" t="str">
        <f aca="false">IFERROR(VLOOKUP(C83,categorieen!$D:$E,2,0),"")</f>
        <v>Kasteel</v>
      </c>
      <c r="N83" s="0" t="str">
        <f aca="false">IFERROR(VLOOKUP(D83,categorieen!$D:$E,2,0),"")</f>
        <v>Begint met N</v>
      </c>
      <c r="O83" s="0" t="str">
        <f aca="false">IFERROR(VLOOKUP(E83,categorieen!$D:$E,2,0),"")</f>
        <v>(stand)beeld / (Rijks)monument</v>
      </c>
      <c r="P83" s="0" t="str">
        <f aca="false">IFERROR(VLOOKUP(F83,categorieen!$D:$E,2,0),"")</f>
        <v/>
      </c>
      <c r="Q83" s="0" t="str">
        <f aca="false">IFERROR(VLOOKUP(G83,categorieen!$D:$E,2,0),"")</f>
        <v/>
      </c>
      <c r="R83" s="0" t="str">
        <f aca="false">IFERROR(VLOOKUP(H83,categorieen!$D:$E,2,0),"")</f>
        <v/>
      </c>
      <c r="S83" s="0" t="str">
        <f aca="false">IFERROR(VLOOKUP(I83,categorieen!$D:$E,2,0),"")</f>
        <v/>
      </c>
      <c r="T83" s="0" t="str">
        <f aca="false">IFERROR(VLOOKUP(J83,categorieen!$D:$E,2,0),"")</f>
        <v/>
      </c>
    </row>
    <row r="84" customFormat="false" ht="15" hidden="false" customHeight="false" outlineLevel="0" collapsed="false">
      <c r="A84" s="0" t="s">
        <v>116</v>
      </c>
      <c r="C84" s="0" t="n">
        <v>23</v>
      </c>
      <c r="D84" s="0" t="n">
        <v>21</v>
      </c>
      <c r="M84" s="0" t="str">
        <f aca="false">IFERROR(VLOOKUP(C84,categorieen!$D:$E,2,0),"")</f>
        <v>Begint met N</v>
      </c>
      <c r="N84" s="0" t="str">
        <f aca="false">IFERROR(VLOOKUP(D84,categorieen!$D:$E,2,0),"")</f>
        <v>West Brabant</v>
      </c>
      <c r="O84" s="0" t="str">
        <f aca="false">IFERROR(VLOOKUP(E84,categorieen!$D:$E,2,0),"")</f>
        <v/>
      </c>
      <c r="P84" s="0" t="str">
        <f aca="false">IFERROR(VLOOKUP(F84,categorieen!$D:$E,2,0),"")</f>
        <v/>
      </c>
      <c r="Q84" s="0" t="str">
        <f aca="false">IFERROR(VLOOKUP(G84,categorieen!$D:$E,2,0),"")</f>
        <v/>
      </c>
      <c r="R84" s="0" t="str">
        <f aca="false">IFERROR(VLOOKUP(H84,categorieen!$D:$E,2,0),"")</f>
        <v/>
      </c>
      <c r="S84" s="0" t="str">
        <f aca="false">IFERROR(VLOOKUP(I84,categorieen!$D:$E,2,0),"")</f>
        <v/>
      </c>
      <c r="T84" s="0" t="str">
        <f aca="false">IFERROR(VLOOKUP(J84,categorieen!$D:$E,2,0),"")</f>
        <v/>
      </c>
    </row>
    <row r="85" customFormat="false" ht="15" hidden="false" customHeight="false" outlineLevel="0" collapsed="false">
      <c r="A85" s="0" t="s">
        <v>117</v>
      </c>
      <c r="C85" s="0" t="n">
        <v>23</v>
      </c>
      <c r="D85" s="0" t="n">
        <v>4</v>
      </c>
      <c r="E85" s="0" t="n">
        <v>16</v>
      </c>
      <c r="M85" s="0" t="str">
        <f aca="false">IFERROR(VLOOKUP(C85,categorieen!$D:$E,2,0),"")</f>
        <v>Begint met N</v>
      </c>
      <c r="N85" s="0" t="str">
        <f aca="false">IFERROR(VLOOKUP(D85,categorieen!$D:$E,2,0),"")</f>
        <v>Zes letters</v>
      </c>
      <c r="O85" s="0" t="str">
        <f aca="false">IFERROR(VLOOKUP(E85,categorieen!$D:$E,2,0),"")</f>
        <v>Buurtschap</v>
      </c>
      <c r="P85" s="0" t="str">
        <f aca="false">IFERROR(VLOOKUP(F85,categorieen!$D:$E,2,0),"")</f>
        <v/>
      </c>
      <c r="Q85" s="0" t="str">
        <f aca="false">IFERROR(VLOOKUP(G85,categorieen!$D:$E,2,0),"")</f>
        <v/>
      </c>
      <c r="R85" s="0" t="str">
        <f aca="false">IFERROR(VLOOKUP(H85,categorieen!$D:$E,2,0),"")</f>
        <v/>
      </c>
      <c r="S85" s="0" t="str">
        <f aca="false">IFERROR(VLOOKUP(I85,categorieen!$D:$E,2,0),"")</f>
        <v/>
      </c>
      <c r="T85" s="0" t="str">
        <f aca="false">IFERROR(VLOOKUP(J85,categorieen!$D:$E,2,0),"")</f>
        <v/>
      </c>
    </row>
    <row r="86" customFormat="false" ht="15" hidden="false" customHeight="false" outlineLevel="0" collapsed="false">
      <c r="A86" s="0" t="s">
        <v>118</v>
      </c>
      <c r="C86" s="0" t="n">
        <v>23</v>
      </c>
      <c r="D86" s="0" t="n">
        <v>34</v>
      </c>
      <c r="M86" s="0" t="str">
        <f aca="false">IFERROR(VLOOKUP(C86,categorieen!$D:$E,2,0),"")</f>
        <v>Begint met N</v>
      </c>
      <c r="N86" s="0" t="str">
        <f aca="false">IFERROR(VLOOKUP(D86,categorieen!$D:$E,2,0),"")</f>
        <v>Met 4 Wieken</v>
      </c>
      <c r="O86" s="0" t="str">
        <f aca="false">IFERROR(VLOOKUP(E86,categorieen!$D:$E,2,0),"")</f>
        <v/>
      </c>
      <c r="P86" s="0" t="str">
        <f aca="false">IFERROR(VLOOKUP(F86,categorieen!$D:$E,2,0),"")</f>
        <v/>
      </c>
      <c r="Q86" s="0" t="str">
        <f aca="false">IFERROR(VLOOKUP(G86,categorieen!$D:$E,2,0),"")</f>
        <v/>
      </c>
      <c r="R86" s="0" t="str">
        <f aca="false">IFERROR(VLOOKUP(H86,categorieen!$D:$E,2,0),"")</f>
        <v/>
      </c>
      <c r="S86" s="0" t="str">
        <f aca="false">IFERROR(VLOOKUP(I86,categorieen!$D:$E,2,0),"")</f>
        <v/>
      </c>
      <c r="T86" s="0" t="str">
        <f aca="false">IFERROR(VLOOKUP(J86,categorieen!$D:$E,2,0),"")</f>
        <v/>
      </c>
    </row>
    <row r="87" customFormat="false" ht="15" hidden="false" customHeight="false" outlineLevel="0" collapsed="false">
      <c r="A87" s="0" t="s">
        <v>119</v>
      </c>
      <c r="C87" s="0" t="n">
        <v>23</v>
      </c>
      <c r="D87" s="0" t="n">
        <v>22</v>
      </c>
      <c r="E87" s="0" t="n">
        <v>16</v>
      </c>
      <c r="M87" s="0" t="str">
        <f aca="false">IFERROR(VLOOKUP(C87,categorieen!$D:$E,2,0),"")</f>
        <v>Begint met N</v>
      </c>
      <c r="N87" s="0" t="str">
        <f aca="false">IFERROR(VLOOKUP(D87,categorieen!$D:$E,2,0),"")</f>
        <v>3x dezelfde letter</v>
      </c>
      <c r="O87" s="0" t="str">
        <f aca="false">IFERROR(VLOOKUP(E87,categorieen!$D:$E,2,0),"")</f>
        <v>Buurtschap</v>
      </c>
      <c r="P87" s="0" t="str">
        <f aca="false">IFERROR(VLOOKUP(F87,categorieen!$D:$E,2,0),"")</f>
        <v/>
      </c>
      <c r="Q87" s="0" t="str">
        <f aca="false">IFERROR(VLOOKUP(G87,categorieen!$D:$E,2,0),"")</f>
        <v/>
      </c>
      <c r="R87" s="0" t="str">
        <f aca="false">IFERROR(VLOOKUP(H87,categorieen!$D:$E,2,0),"")</f>
        <v/>
      </c>
      <c r="S87" s="0" t="str">
        <f aca="false">IFERROR(VLOOKUP(I87,categorieen!$D:$E,2,0),"")</f>
        <v/>
      </c>
      <c r="T87" s="0" t="str">
        <f aca="false">IFERROR(VLOOKUP(J87,categorieen!$D:$E,2,0),"")</f>
        <v/>
      </c>
    </row>
    <row r="88" customFormat="false" ht="15" hidden="false" customHeight="false" outlineLevel="0" collapsed="false">
      <c r="A88" s="0" t="s">
        <v>120</v>
      </c>
      <c r="C88" s="0" t="n">
        <v>23</v>
      </c>
      <c r="D88" s="0" t="n">
        <v>42</v>
      </c>
      <c r="E88" s="0" t="n">
        <v>1</v>
      </c>
      <c r="F88" s="0" t="n">
        <v>8</v>
      </c>
      <c r="G88" s="0" t="n">
        <v>4</v>
      </c>
      <c r="M88" s="0" t="str">
        <f aca="false">IFERROR(VLOOKUP(C88,categorieen!$D:$E,2,0),"")</f>
        <v>Begint met N</v>
      </c>
      <c r="N88" s="0" t="str">
        <f aca="false">IFERROR(VLOOKUP(D88,categorieen!$D:$E,2,0),"")</f>
        <v>7 letters</v>
      </c>
      <c r="O88" s="0" t="str">
        <f aca="false">IFERROR(VLOOKUP(E88,categorieen!$D:$E,2,0),"")</f>
        <v>Eerste- en Eindletter hetzelfde</v>
      </c>
      <c r="P88" s="0" t="str">
        <f aca="false">IFERROR(VLOOKUP(F88,categorieen!$D:$E,2,0),"")</f>
        <v>040 (Eindhoven)</v>
      </c>
      <c r="Q88" s="0" t="str">
        <f aca="false">IFERROR(VLOOKUP(G88,categorieen!$D:$E,2,0),"")</f>
        <v>Zes letters</v>
      </c>
      <c r="R88" s="0" t="str">
        <f aca="false">IFERROR(VLOOKUP(H88,categorieen!$D:$E,2,0),"")</f>
        <v/>
      </c>
      <c r="S88" s="0" t="str">
        <f aca="false">IFERROR(VLOOKUP(I88,categorieen!$D:$E,2,0),"")</f>
        <v/>
      </c>
      <c r="T88" s="0" t="str">
        <f aca="false">IFERROR(VLOOKUP(J88,categorieen!$D:$E,2,0),"")</f>
        <v/>
      </c>
    </row>
    <row r="89" customFormat="false" ht="15" hidden="false" customHeight="false" outlineLevel="0" collapsed="false">
      <c r="A89" s="0" t="s">
        <v>121</v>
      </c>
      <c r="C89" s="0" t="n">
        <v>37</v>
      </c>
      <c r="D89" s="0" t="n">
        <v>12</v>
      </c>
      <c r="E89" s="0" t="n">
        <v>19</v>
      </c>
      <c r="M89" s="0" t="str">
        <f aca="false">IFERROR(VLOOKUP(C89,categorieen!$D:$E,2,0),"")</f>
        <v>s Hertogenbosch (DB)</v>
      </c>
      <c r="N89" s="0" t="str">
        <f aca="false">IFERROR(VLOOKUP(D89,categorieen!$D:$E,2,0),"")</f>
        <v>Water</v>
      </c>
      <c r="O89" s="0" t="str">
        <f aca="false">IFERROR(VLOOKUP(E89,categorieen!$D:$E,2,0),"")</f>
        <v>Natuur</v>
      </c>
      <c r="P89" s="0" t="str">
        <f aca="false">IFERROR(VLOOKUP(F89,categorieen!$D:$E,2,0),"")</f>
        <v/>
      </c>
      <c r="Q89" s="0" t="str">
        <f aca="false">IFERROR(VLOOKUP(G89,categorieen!$D:$E,2,0),"")</f>
        <v/>
      </c>
      <c r="R89" s="0" t="str">
        <f aca="false">IFERROR(VLOOKUP(H89,categorieen!$D:$E,2,0),"")</f>
        <v/>
      </c>
      <c r="S89" s="0" t="str">
        <f aca="false">IFERROR(VLOOKUP(I89,categorieen!$D:$E,2,0),"")</f>
        <v/>
      </c>
      <c r="T89" s="0" t="str">
        <f aca="false">IFERROR(VLOOKUP(J89,categorieen!$D:$E,2,0),"")</f>
        <v/>
      </c>
    </row>
    <row r="90" customFormat="false" ht="15" hidden="false" customHeight="false" outlineLevel="0" collapsed="false">
      <c r="A90" s="0" t="s">
        <v>122</v>
      </c>
      <c r="C90" s="0" t="n">
        <v>24</v>
      </c>
      <c r="D90" s="0" t="n">
        <v>17</v>
      </c>
      <c r="E90" s="0" t="n">
        <v>43</v>
      </c>
      <c r="M90" s="0" t="str">
        <f aca="false">IFERROR(VLOOKUP(C90,categorieen!$D:$E,2,0),"")</f>
        <v>3 of 4 letters</v>
      </c>
      <c r="N90" s="0" t="str">
        <f aca="false">IFERROR(VLOOKUP(D90,categorieen!$D:$E,2,0),"")</f>
        <v>Met dubbel s</v>
      </c>
      <c r="O90" s="0" t="str">
        <f aca="false">IFERROR(VLOOKUP(E90,categorieen!$D:$E,2,0),"")</f>
        <v>Dierlijk</v>
      </c>
      <c r="P90" s="0" t="str">
        <f aca="false">IFERROR(VLOOKUP(F90,categorieen!$D:$E,2,0),"")</f>
        <v/>
      </c>
      <c r="Q90" s="0" t="str">
        <f aca="false">IFERROR(VLOOKUP(G90,categorieen!$D:$E,2,0),"")</f>
        <v/>
      </c>
      <c r="R90" s="0" t="str">
        <f aca="false">IFERROR(VLOOKUP(H90,categorieen!$D:$E,2,0),"")</f>
        <v/>
      </c>
      <c r="S90" s="0" t="str">
        <f aca="false">IFERROR(VLOOKUP(I90,categorieen!$D:$E,2,0),"")</f>
        <v/>
      </c>
      <c r="T90" s="0" t="str">
        <f aca="false">IFERROR(VLOOKUP(J90,categorieen!$D:$E,2,0),"")</f>
        <v/>
      </c>
    </row>
    <row r="91" customFormat="false" ht="15" hidden="false" customHeight="false" outlineLevel="0" collapsed="false">
      <c r="A91" s="5" t="s">
        <v>123</v>
      </c>
      <c r="C91" s="1" t="n">
        <v>20</v>
      </c>
      <c r="D91" s="1" t="n">
        <v>1</v>
      </c>
      <c r="M91" s="0" t="str">
        <f aca="false">IFERROR(VLOOKUP(C91,categorieen!$D:$E,2,0),"")</f>
        <v>Festival</v>
      </c>
      <c r="N91" s="0" t="str">
        <f aca="false">IFERROR(VLOOKUP(D91,categorieen!$D:$E,2,0),"")</f>
        <v>Eerste- en Eindletter hetzelfde</v>
      </c>
      <c r="O91" s="0" t="str">
        <f aca="false">IFERROR(VLOOKUP(E91,categorieen!$D:$E,2,0),"")</f>
        <v/>
      </c>
      <c r="P91" s="0" t="str">
        <f aca="false">IFERROR(VLOOKUP(F91,categorieen!$D:$E,2,0),"")</f>
        <v/>
      </c>
      <c r="Q91" s="0" t="str">
        <f aca="false">IFERROR(VLOOKUP(G91,categorieen!$D:$E,2,0),"")</f>
        <v/>
      </c>
      <c r="R91" s="0" t="str">
        <f aca="false">IFERROR(VLOOKUP(H91,categorieen!$D:$E,2,0),"")</f>
        <v/>
      </c>
      <c r="S91" s="0" t="str">
        <f aca="false">IFERROR(VLOOKUP(I91,categorieen!$D:$E,2,0),"")</f>
        <v/>
      </c>
      <c r="T91" s="0" t="str">
        <f aca="false">IFERROR(VLOOKUP(J91,categorieen!$D:$E,2,0),"")</f>
        <v/>
      </c>
    </row>
    <row r="92" customFormat="false" ht="15" hidden="false" customHeight="false" outlineLevel="0" collapsed="false">
      <c r="A92" s="0" t="s">
        <v>124</v>
      </c>
      <c r="C92" s="0" t="n">
        <v>1</v>
      </c>
      <c r="D92" s="0" t="n">
        <v>8</v>
      </c>
      <c r="E92" s="0" t="n">
        <v>39</v>
      </c>
      <c r="M92" s="0" t="str">
        <f aca="false">IFERROR(VLOOKUP(C92,categorieen!$D:$E,2,0),"")</f>
        <v>Eerste- en Eindletter hetzelfde</v>
      </c>
      <c r="N92" s="0" t="str">
        <f aca="false">IFERROR(VLOOKUP(D92,categorieen!$D:$E,2,0),"")</f>
        <v>040 (Eindhoven)</v>
      </c>
      <c r="O92" s="0" t="str">
        <f aca="false">IFERROR(VLOOKUP(E92,categorieen!$D:$E,2,0),"")</f>
        <v>Theater</v>
      </c>
      <c r="P92" s="0" t="str">
        <f aca="false">IFERROR(VLOOKUP(F92,categorieen!$D:$E,2,0),"")</f>
        <v/>
      </c>
      <c r="Q92" s="0" t="str">
        <f aca="false">IFERROR(VLOOKUP(G92,categorieen!$D:$E,2,0),"")</f>
        <v/>
      </c>
      <c r="R92" s="0" t="str">
        <f aca="false">IFERROR(VLOOKUP(H92,categorieen!$D:$E,2,0),"")</f>
        <v/>
      </c>
      <c r="S92" s="0" t="str">
        <f aca="false">IFERROR(VLOOKUP(I92,categorieen!$D:$E,2,0),"")</f>
        <v/>
      </c>
      <c r="T92" s="0" t="str">
        <f aca="false">IFERROR(VLOOKUP(J92,categorieen!$D:$E,2,0),"")</f>
        <v/>
      </c>
    </row>
    <row r="93" customFormat="false" ht="15" hidden="false" customHeight="false" outlineLevel="0" collapsed="false">
      <c r="A93" s="0" t="s">
        <v>125</v>
      </c>
      <c r="C93" s="0" t="n">
        <v>20</v>
      </c>
      <c r="D93" s="0" t="n">
        <v>31</v>
      </c>
      <c r="E93" s="0" t="n">
        <v>1</v>
      </c>
      <c r="M93" s="0" t="str">
        <f aca="false">IFERROR(VLOOKUP(C93,categorieen!$D:$E,2,0),"")</f>
        <v>Festival</v>
      </c>
      <c r="N93" s="0" t="str">
        <f aca="false">IFERROR(VLOOKUP(D93,categorieen!$D:$E,2,0),"")</f>
        <v>Kleurrijk</v>
      </c>
      <c r="O93" s="0" t="str">
        <f aca="false">IFERROR(VLOOKUP(E93,categorieen!$D:$E,2,0),"")</f>
        <v>Eerste- en Eindletter hetzelfde</v>
      </c>
      <c r="P93" s="0" t="str">
        <f aca="false">IFERROR(VLOOKUP(F93,categorieen!$D:$E,2,0),"")</f>
        <v/>
      </c>
      <c r="Q93" s="0" t="str">
        <f aca="false">IFERROR(VLOOKUP(G93,categorieen!$D:$E,2,0),"")</f>
        <v/>
      </c>
      <c r="R93" s="0" t="str">
        <f aca="false">IFERROR(VLOOKUP(H93,categorieen!$D:$E,2,0),"")</f>
        <v/>
      </c>
      <c r="S93" s="0" t="str">
        <f aca="false">IFERROR(VLOOKUP(I93,categorieen!$D:$E,2,0),"")</f>
        <v/>
      </c>
      <c r="T93" s="0" t="str">
        <f aca="false">IFERROR(VLOOKUP(J93,categorieen!$D:$E,2,0),"")</f>
        <v/>
      </c>
    </row>
    <row r="94" customFormat="false" ht="15" hidden="false" customHeight="false" outlineLevel="0" collapsed="false">
      <c r="A94" s="0" t="s">
        <v>126</v>
      </c>
      <c r="C94" s="0" t="n">
        <v>7</v>
      </c>
      <c r="D94" s="0" t="n">
        <v>4</v>
      </c>
      <c r="M94" s="0" t="str">
        <f aca="false">IFERROR(VLOOKUP(C94,categorieen!$D:$E,2,0),"")</f>
        <v>Alaaf</v>
      </c>
      <c r="N94" s="0" t="str">
        <f aca="false">IFERROR(VLOOKUP(D94,categorieen!$D:$E,2,0),"")</f>
        <v>Zes letters</v>
      </c>
      <c r="O94" s="0" t="str">
        <f aca="false">IFERROR(VLOOKUP(E94,categorieen!$D:$E,2,0),"")</f>
        <v/>
      </c>
      <c r="P94" s="0" t="str">
        <f aca="false">IFERROR(VLOOKUP(F94,categorieen!$D:$E,2,0),"")</f>
        <v/>
      </c>
      <c r="Q94" s="0" t="str">
        <f aca="false">IFERROR(VLOOKUP(G94,categorieen!$D:$E,2,0),"")</f>
        <v/>
      </c>
      <c r="R94" s="0" t="str">
        <f aca="false">IFERROR(VLOOKUP(H94,categorieen!$D:$E,2,0),"")</f>
        <v/>
      </c>
      <c r="S94" s="0" t="str">
        <f aca="false">IFERROR(VLOOKUP(I94,categorieen!$D:$E,2,0),"")</f>
        <v/>
      </c>
      <c r="T94" s="0" t="str">
        <f aca="false">IFERROR(VLOOKUP(J94,categorieen!$D:$E,2,0),"")</f>
        <v/>
      </c>
    </row>
    <row r="95" customFormat="false" ht="15" hidden="false" customHeight="false" outlineLevel="0" collapsed="false">
      <c r="A95" s="0" t="s">
        <v>127</v>
      </c>
      <c r="C95" s="0" t="n">
        <v>30</v>
      </c>
      <c r="D95" s="0" t="n">
        <v>7</v>
      </c>
      <c r="M95" s="0" t="str">
        <f aca="false">IFERROR(VLOOKUP(C95,categorieen!$D:$E,2,0),"")</f>
        <v>In de volksmond (IDV)</v>
      </c>
      <c r="N95" s="0" t="str">
        <f aca="false">IFERROR(VLOOKUP(D95,categorieen!$D:$E,2,0),"")</f>
        <v>Alaaf</v>
      </c>
      <c r="O95" s="0" t="str">
        <f aca="false">IFERROR(VLOOKUP(E95,categorieen!$D:$E,2,0),"")</f>
        <v/>
      </c>
      <c r="P95" s="0" t="str">
        <f aca="false">IFERROR(VLOOKUP(F95,categorieen!$D:$E,2,0),"")</f>
        <v/>
      </c>
      <c r="Q95" s="0" t="str">
        <f aca="false">IFERROR(VLOOKUP(G95,categorieen!$D:$E,2,0),"")</f>
        <v/>
      </c>
      <c r="R95" s="0" t="str">
        <f aca="false">IFERROR(VLOOKUP(H95,categorieen!$D:$E,2,0),"")</f>
        <v/>
      </c>
      <c r="S95" s="0" t="str">
        <f aca="false">IFERROR(VLOOKUP(I95,categorieen!$D:$E,2,0),"")</f>
        <v/>
      </c>
      <c r="T95" s="0" t="str">
        <f aca="false">IFERROR(VLOOKUP(J95,categorieen!$D:$E,2,0),"")</f>
        <v/>
      </c>
    </row>
    <row r="96" customFormat="false" ht="15" hidden="false" customHeight="false" outlineLevel="0" collapsed="false">
      <c r="A96" s="0" t="s">
        <v>128</v>
      </c>
      <c r="C96" s="0" t="n">
        <v>28</v>
      </c>
      <c r="D96" s="0" t="n">
        <v>11</v>
      </c>
      <c r="E96" s="0" t="n">
        <v>22</v>
      </c>
      <c r="M96" s="0" t="str">
        <f aca="false">IFERROR(VLOOKUP(C96,categorieen!$D:$E,2,0),"")</f>
        <v>Heilige</v>
      </c>
      <c r="N96" s="0" t="str">
        <f aca="false">IFERROR(VLOOKUP(D96,categorieen!$D:$E,2,0),"")</f>
        <v>Tilburg</v>
      </c>
      <c r="O96" s="0" t="str">
        <f aca="false">IFERROR(VLOOKUP(E96,categorieen!$D:$E,2,0),"")</f>
        <v>3x dezelfde letter</v>
      </c>
      <c r="P96" s="0" t="str">
        <f aca="false">IFERROR(VLOOKUP(F96,categorieen!$D:$E,2,0),"")</f>
        <v/>
      </c>
      <c r="Q96" s="0" t="str">
        <f aca="false">IFERROR(VLOOKUP(G96,categorieen!$D:$E,2,0),"")</f>
        <v/>
      </c>
      <c r="R96" s="0" t="str">
        <f aca="false">IFERROR(VLOOKUP(H96,categorieen!$D:$E,2,0),"")</f>
        <v/>
      </c>
      <c r="S96" s="0" t="str">
        <f aca="false">IFERROR(VLOOKUP(I96,categorieen!$D:$E,2,0),"")</f>
        <v/>
      </c>
      <c r="T96" s="0" t="str">
        <f aca="false">IFERROR(VLOOKUP(J96,categorieen!$D:$E,2,0),"")</f>
        <v/>
      </c>
    </row>
    <row r="97" customFormat="false" ht="15" hidden="false" customHeight="false" outlineLevel="0" collapsed="false">
      <c r="A97" s="0" t="s">
        <v>129</v>
      </c>
      <c r="C97" s="0" t="n">
        <v>38</v>
      </c>
      <c r="D97" s="0" t="n">
        <v>35</v>
      </c>
      <c r="E97" s="0" t="n">
        <v>18</v>
      </c>
      <c r="F97" s="0" t="n">
        <v>17</v>
      </c>
      <c r="G97" s="0" t="n">
        <v>43</v>
      </c>
      <c r="M97" s="0" t="str">
        <f aca="false">IFERROR(VLOOKUP(C97,categorieen!$D:$E,2,0),"")</f>
        <v>Sport</v>
      </c>
      <c r="N97" s="0" t="str">
        <f aca="false">IFERROR(VLOOKUP(D97,categorieen!$D:$E,2,0),"")</f>
        <v>Parel in het Groen (PITG)</v>
      </c>
      <c r="O97" s="0" t="str">
        <f aca="false">IFERROR(VLOOKUP(E97,categorieen!$D:$E,2,0),"")</f>
        <v>Willem II</v>
      </c>
      <c r="P97" s="0" t="str">
        <f aca="false">IFERROR(VLOOKUP(F97,categorieen!$D:$E,2,0),"")</f>
        <v>Met dubbel s</v>
      </c>
      <c r="Q97" s="0" t="str">
        <f aca="false">IFERROR(VLOOKUP(G97,categorieen!$D:$E,2,0),"")</f>
        <v>Dierlijk</v>
      </c>
      <c r="R97" s="0" t="str">
        <f aca="false">IFERROR(VLOOKUP(H97,categorieen!$D:$E,2,0),"")</f>
        <v/>
      </c>
      <c r="S97" s="0" t="str">
        <f aca="false">IFERROR(VLOOKUP(I97,categorieen!$D:$E,2,0),"")</f>
        <v/>
      </c>
      <c r="T97" s="0" t="str">
        <f aca="false">IFERROR(VLOOKUP(J97,categorieen!$D:$E,2,0),"")</f>
        <v/>
      </c>
    </row>
    <row r="98" customFormat="false" ht="15" hidden="false" customHeight="false" outlineLevel="0" collapsed="false">
      <c r="A98" s="0" t="s">
        <v>130</v>
      </c>
      <c r="C98" s="0" t="n">
        <v>15</v>
      </c>
      <c r="D98" s="0" t="n">
        <v>36</v>
      </c>
      <c r="E98" s="0" t="n">
        <v>9</v>
      </c>
      <c r="M98" s="0" t="str">
        <f aca="false">IFERROR(VLOOKUP(C98,categorieen!$D:$E,2,0),"")</f>
        <v>Getal/Cijfer</v>
      </c>
      <c r="N98" s="0" t="str">
        <f aca="false">IFERROR(VLOOKUP(D98,categorieen!$D:$E,2,0),"")</f>
        <v>Plein</v>
      </c>
      <c r="O98" s="0" t="str">
        <f aca="false">IFERROR(VLOOKUP(E98,categorieen!$D:$E,2,0),"")</f>
        <v>Kiosk</v>
      </c>
      <c r="P98" s="0" t="str">
        <f aca="false">IFERROR(VLOOKUP(F98,categorieen!$D:$E,2,0),"")</f>
        <v/>
      </c>
      <c r="Q98" s="0" t="str">
        <f aca="false">IFERROR(VLOOKUP(G98,categorieen!$D:$E,2,0),"")</f>
        <v/>
      </c>
      <c r="R98" s="0" t="str">
        <f aca="false">IFERROR(VLOOKUP(H98,categorieen!$D:$E,2,0),"")</f>
        <v/>
      </c>
      <c r="S98" s="0" t="str">
        <f aca="false">IFERROR(VLOOKUP(I98,categorieen!$D:$E,2,0),"")</f>
        <v/>
      </c>
      <c r="T98" s="0" t="str">
        <f aca="false">IFERROR(VLOOKUP(J98,categorieen!$D:$E,2,0),"")</f>
        <v/>
      </c>
    </row>
    <row r="99" customFormat="false" ht="15" hidden="false" customHeight="false" outlineLevel="0" collapsed="false">
      <c r="A99" s="0" t="s">
        <v>131</v>
      </c>
      <c r="C99" s="0" t="n">
        <v>7</v>
      </c>
      <c r="D99" s="0" t="n">
        <v>40</v>
      </c>
      <c r="M99" s="0" t="str">
        <f aca="false">IFERROR(VLOOKUP(C99,categorieen!$D:$E,2,0),"")</f>
        <v>Alaaf</v>
      </c>
      <c r="N99" s="0" t="str">
        <f aca="false">IFERROR(VLOOKUP(D99,categorieen!$D:$E,2,0),"")</f>
        <v>Typisch Brabants (TB)</v>
      </c>
      <c r="O99" s="0" t="str">
        <f aca="false">IFERROR(VLOOKUP(E99,categorieen!$D:$E,2,0),"")</f>
        <v/>
      </c>
      <c r="P99" s="0" t="str">
        <f aca="false">IFERROR(VLOOKUP(F99,categorieen!$D:$E,2,0),"")</f>
        <v/>
      </c>
      <c r="Q99" s="0" t="str">
        <f aca="false">IFERROR(VLOOKUP(G99,categorieen!$D:$E,2,0),"")</f>
        <v/>
      </c>
      <c r="R99" s="0" t="str">
        <f aca="false">IFERROR(VLOOKUP(H99,categorieen!$D:$E,2,0),"")</f>
        <v/>
      </c>
      <c r="S99" s="0" t="str">
        <f aca="false">IFERROR(VLOOKUP(I99,categorieen!$D:$E,2,0),"")</f>
        <v/>
      </c>
      <c r="T99" s="0" t="str">
        <f aca="false">IFERROR(VLOOKUP(J99,categorieen!$D:$E,2,0),"")</f>
        <v/>
      </c>
    </row>
    <row r="100" customFormat="false" ht="30" hidden="false" customHeight="false" outlineLevel="0" collapsed="false">
      <c r="A100" s="0" t="s">
        <v>132</v>
      </c>
      <c r="B100" s="2" t="s">
        <v>133</v>
      </c>
      <c r="C100" s="0" t="n">
        <v>5</v>
      </c>
      <c r="D100" s="0" t="n">
        <v>7</v>
      </c>
      <c r="E100" s="0" t="n">
        <v>8</v>
      </c>
      <c r="F100" s="0" t="n">
        <v>43</v>
      </c>
      <c r="M100" s="0" t="str">
        <f aca="false">IFERROR(VLOOKUP(C100,categorieen!$D:$E,2,0),"")</f>
        <v>Bekende Brabanders</v>
      </c>
      <c r="N100" s="0" t="str">
        <f aca="false">IFERROR(VLOOKUP(D100,categorieen!$D:$E,2,0),"")</f>
        <v>Alaaf</v>
      </c>
      <c r="O100" s="0" t="str">
        <f aca="false">IFERROR(VLOOKUP(E100,categorieen!$D:$E,2,0),"")</f>
        <v>040 (Eindhoven)</v>
      </c>
      <c r="P100" s="0" t="str">
        <f aca="false">IFERROR(VLOOKUP(F100,categorieen!$D:$E,2,0),"")</f>
        <v>Dierlijk</v>
      </c>
      <c r="Q100" s="0" t="str">
        <f aca="false">IFERROR(VLOOKUP(G100,categorieen!$D:$E,2,0),"")</f>
        <v/>
      </c>
      <c r="R100" s="0" t="str">
        <f aca="false">IFERROR(VLOOKUP(H100,categorieen!$D:$E,2,0),"")</f>
        <v/>
      </c>
      <c r="S100" s="0" t="str">
        <f aca="false">IFERROR(VLOOKUP(I100,categorieen!$D:$E,2,0),"")</f>
        <v/>
      </c>
      <c r="T100" s="0" t="str">
        <f aca="false">IFERROR(VLOOKUP(J100,categorieen!$D:$E,2,0),"")</f>
        <v/>
      </c>
    </row>
    <row r="101" customFormat="false" ht="15" hidden="false" customHeight="false" outlineLevel="0" collapsed="false">
      <c r="A101" s="0" t="s">
        <v>134</v>
      </c>
      <c r="C101" s="0" t="n">
        <v>27</v>
      </c>
      <c r="D101" s="0" t="n">
        <v>17</v>
      </c>
      <c r="E101" s="0" t="n">
        <v>21</v>
      </c>
      <c r="F101" s="0" t="n">
        <v>42</v>
      </c>
      <c r="M101" s="0" t="str">
        <f aca="false">IFERROR(VLOOKUP(C101,categorieen!$D:$E,2,0),"")</f>
        <v>Eten en Drinken (ED)</v>
      </c>
      <c r="N101" s="0" t="str">
        <f aca="false">IFERROR(VLOOKUP(D101,categorieen!$D:$E,2,0),"")</f>
        <v>Met dubbel s</v>
      </c>
      <c r="O101" s="0" t="str">
        <f aca="false">IFERROR(VLOOKUP(E101,categorieen!$D:$E,2,0),"")</f>
        <v>West Brabant</v>
      </c>
      <c r="P101" s="0" t="str">
        <f aca="false">IFERROR(VLOOKUP(F101,categorieen!$D:$E,2,0),"")</f>
        <v>7 letters</v>
      </c>
      <c r="Q101" s="0" t="str">
        <f aca="false">IFERROR(VLOOKUP(G101,categorieen!$D:$E,2,0),"")</f>
        <v/>
      </c>
      <c r="R101" s="0" t="str">
        <f aca="false">IFERROR(VLOOKUP(H101,categorieen!$D:$E,2,0),"")</f>
        <v/>
      </c>
      <c r="S101" s="0" t="str">
        <f aca="false">IFERROR(VLOOKUP(I101,categorieen!$D:$E,2,0),"")</f>
        <v/>
      </c>
      <c r="T101" s="0" t="str">
        <f aca="false">IFERROR(VLOOKUP(J101,categorieen!$D:$E,2,0),"")</f>
        <v/>
      </c>
    </row>
    <row r="102" customFormat="false" ht="15" hidden="false" customHeight="false" outlineLevel="0" collapsed="false">
      <c r="A102" s="0" t="s">
        <v>135</v>
      </c>
      <c r="C102" s="0" t="n">
        <v>18</v>
      </c>
      <c r="D102" s="0" t="n">
        <v>38</v>
      </c>
      <c r="E102" s="0" t="n">
        <v>22</v>
      </c>
      <c r="M102" s="0" t="str">
        <f aca="false">IFERROR(VLOOKUP(C102,categorieen!$D:$E,2,0),"")</f>
        <v>Willem II</v>
      </c>
      <c r="N102" s="0" t="str">
        <f aca="false">IFERROR(VLOOKUP(D102,categorieen!$D:$E,2,0),"")</f>
        <v>Sport</v>
      </c>
      <c r="O102" s="0" t="str">
        <f aca="false">IFERROR(VLOOKUP(E102,categorieen!$D:$E,2,0),"")</f>
        <v>3x dezelfde letter</v>
      </c>
      <c r="P102" s="0" t="str">
        <f aca="false">IFERROR(VLOOKUP(F102,categorieen!$D:$E,2,0),"")</f>
        <v/>
      </c>
      <c r="Q102" s="0" t="str">
        <f aca="false">IFERROR(VLOOKUP(G102,categorieen!$D:$E,2,0),"")</f>
        <v/>
      </c>
      <c r="R102" s="0" t="str">
        <f aca="false">IFERROR(VLOOKUP(H102,categorieen!$D:$E,2,0),"")</f>
        <v/>
      </c>
      <c r="S102" s="0" t="str">
        <f aca="false">IFERROR(VLOOKUP(I102,categorieen!$D:$E,2,0),"")</f>
        <v/>
      </c>
      <c r="T102" s="0" t="str">
        <f aca="false">IFERROR(VLOOKUP(J102,categorieen!$D:$E,2,0),"")</f>
        <v/>
      </c>
    </row>
    <row r="103" customFormat="false" ht="15" hidden="false" customHeight="false" outlineLevel="0" collapsed="false">
      <c r="A103" s="0" t="s">
        <v>136</v>
      </c>
      <c r="C103" s="0" t="n">
        <v>24</v>
      </c>
      <c r="D103" s="0" t="n">
        <v>30</v>
      </c>
      <c r="M103" s="0" t="str">
        <f aca="false">IFERROR(VLOOKUP(C103,categorieen!$D:$E,2,0),"")</f>
        <v>3 of 4 letters</v>
      </c>
      <c r="N103" s="0" t="str">
        <f aca="false">IFERROR(VLOOKUP(D103,categorieen!$D:$E,2,0),"")</f>
        <v>In de volksmond (IDV)</v>
      </c>
      <c r="O103" s="0" t="str">
        <f aca="false">IFERROR(VLOOKUP(E103,categorieen!$D:$E,2,0),"")</f>
        <v/>
      </c>
      <c r="P103" s="0" t="str">
        <f aca="false">IFERROR(VLOOKUP(F103,categorieen!$D:$E,2,0),"")</f>
        <v/>
      </c>
      <c r="Q103" s="0" t="str">
        <f aca="false">IFERROR(VLOOKUP(G103,categorieen!$D:$E,2,0),"")</f>
        <v/>
      </c>
      <c r="R103" s="0" t="str">
        <f aca="false">IFERROR(VLOOKUP(H103,categorieen!$D:$E,2,0),"")</f>
        <v/>
      </c>
      <c r="S103" s="0" t="str">
        <f aca="false">IFERROR(VLOOKUP(I103,categorieen!$D:$E,2,0),"")</f>
        <v/>
      </c>
      <c r="T103" s="0" t="str">
        <f aca="false">IFERROR(VLOOKUP(J103,categorieen!$D:$E,2,0),"")</f>
        <v/>
      </c>
    </row>
    <row r="104" customFormat="false" ht="15" hidden="false" customHeight="false" outlineLevel="0" collapsed="false">
      <c r="A104" s="0" t="s">
        <v>137</v>
      </c>
      <c r="C104" s="0" t="n">
        <v>11</v>
      </c>
      <c r="D104" s="0" t="n">
        <v>22</v>
      </c>
      <c r="E104" s="0" t="n">
        <v>20</v>
      </c>
      <c r="M104" s="0" t="str">
        <f aca="false">IFERROR(VLOOKUP(C104,categorieen!$D:$E,2,0),"")</f>
        <v>Tilburg</v>
      </c>
      <c r="N104" s="0" t="str">
        <f aca="false">IFERROR(VLOOKUP(D104,categorieen!$D:$E,2,0),"")</f>
        <v>3x dezelfde letter</v>
      </c>
      <c r="O104" s="0" t="str">
        <f aca="false">IFERROR(VLOOKUP(E104,categorieen!$D:$E,2,0),"")</f>
        <v>Festival</v>
      </c>
      <c r="P104" s="0" t="str">
        <f aca="false">IFERROR(VLOOKUP(F104,categorieen!$D:$E,2,0),"")</f>
        <v/>
      </c>
      <c r="Q104" s="0" t="str">
        <f aca="false">IFERROR(VLOOKUP(G104,categorieen!$D:$E,2,0),"")</f>
        <v/>
      </c>
      <c r="R104" s="0" t="str">
        <f aca="false">IFERROR(VLOOKUP(H104,categorieen!$D:$E,2,0),"")</f>
        <v/>
      </c>
      <c r="S104" s="0" t="str">
        <f aca="false">IFERROR(VLOOKUP(I104,categorieen!$D:$E,2,0),"")</f>
        <v/>
      </c>
      <c r="T104" s="0" t="str">
        <f aca="false">IFERROR(VLOOKUP(J104,categorieen!$D:$E,2,0),"")</f>
        <v/>
      </c>
    </row>
    <row r="105" customFormat="false" ht="15" hidden="false" customHeight="false" outlineLevel="0" collapsed="false">
      <c r="A105" s="0" t="s">
        <v>138</v>
      </c>
      <c r="C105" s="0" t="n">
        <v>11</v>
      </c>
      <c r="D105" s="0" t="n">
        <v>27</v>
      </c>
      <c r="E105" s="0" t="n">
        <v>40</v>
      </c>
      <c r="F105" s="0" t="n">
        <v>7</v>
      </c>
      <c r="M105" s="0" t="str">
        <f aca="false">IFERROR(VLOOKUP(C105,categorieen!$D:$E,2,0),"")</f>
        <v>Tilburg</v>
      </c>
      <c r="N105" s="0" t="str">
        <f aca="false">IFERROR(VLOOKUP(D105,categorieen!$D:$E,2,0),"")</f>
        <v>Eten en Drinken (ED)</v>
      </c>
      <c r="O105" s="0" t="str">
        <f aca="false">IFERROR(VLOOKUP(E105,categorieen!$D:$E,2,0),"")</f>
        <v>Typisch Brabants (TB)</v>
      </c>
      <c r="P105" s="0" t="str">
        <f aca="false">IFERROR(VLOOKUP(F105,categorieen!$D:$E,2,0),"")</f>
        <v>Alaaf</v>
      </c>
      <c r="Q105" s="0" t="str">
        <f aca="false">IFERROR(VLOOKUP(G105,categorieen!$D:$E,2,0),"")</f>
        <v/>
      </c>
      <c r="R105" s="0" t="str">
        <f aca="false">IFERROR(VLOOKUP(H105,categorieen!$D:$E,2,0),"")</f>
        <v/>
      </c>
      <c r="S105" s="0" t="str">
        <f aca="false">IFERROR(VLOOKUP(I105,categorieen!$D:$E,2,0),"")</f>
        <v/>
      </c>
      <c r="T105" s="0" t="str">
        <f aca="false">IFERROR(VLOOKUP(J105,categorieen!$D:$E,2,0),"")</f>
        <v/>
      </c>
    </row>
    <row r="106" customFormat="false" ht="15" hidden="false" customHeight="false" outlineLevel="0" collapsed="false">
      <c r="A106" s="0" t="s">
        <v>139</v>
      </c>
      <c r="B106" s="0" t="s">
        <v>140</v>
      </c>
      <c r="C106" s="0" t="n">
        <v>5</v>
      </c>
      <c r="D106" s="0" t="n">
        <v>38</v>
      </c>
      <c r="E106" s="0" t="n">
        <v>41</v>
      </c>
      <c r="F106" s="0" t="n">
        <v>22</v>
      </c>
      <c r="M106" s="0" t="str">
        <f aca="false">IFERROR(VLOOKUP(C106,categorieen!$D:$E,2,0),"")</f>
        <v>Bekende Brabanders</v>
      </c>
      <c r="N106" s="0" t="str">
        <f aca="false">IFERROR(VLOOKUP(D106,categorieen!$D:$E,2,0),"")</f>
        <v>Sport</v>
      </c>
      <c r="O106" s="0" t="str">
        <f aca="false">IFERROR(VLOOKUP(E106,categorieen!$D:$E,2,0),"")</f>
        <v>Vught</v>
      </c>
      <c r="P106" s="0" t="str">
        <f aca="false">IFERROR(VLOOKUP(F106,categorieen!$D:$E,2,0),"")</f>
        <v>3x dezelfde letter</v>
      </c>
      <c r="Q106" s="0" t="str">
        <f aca="false">IFERROR(VLOOKUP(G106,categorieen!$D:$E,2,0),"")</f>
        <v/>
      </c>
      <c r="R106" s="0" t="str">
        <f aca="false">IFERROR(VLOOKUP(H106,categorieen!$D:$E,2,0),"")</f>
        <v/>
      </c>
      <c r="S106" s="0" t="str">
        <f aca="false">IFERROR(VLOOKUP(I106,categorieen!$D:$E,2,0),"")</f>
        <v/>
      </c>
      <c r="T106" s="0" t="str">
        <f aca="false">IFERROR(VLOOKUP(J106,categorieen!$D:$E,2,0),"")</f>
        <v/>
      </c>
    </row>
    <row r="107" customFormat="false" ht="15" hidden="false" customHeight="false" outlineLevel="0" collapsed="false">
      <c r="A107" s="0" t="s">
        <v>141</v>
      </c>
      <c r="C107" s="0" t="n">
        <v>28</v>
      </c>
      <c r="D107" s="0" t="n">
        <v>34</v>
      </c>
      <c r="E107" s="0" t="n">
        <v>22</v>
      </c>
      <c r="M107" s="0" t="str">
        <f aca="false">IFERROR(VLOOKUP(C107,categorieen!$D:$E,2,0),"")</f>
        <v>Heilige</v>
      </c>
      <c r="N107" s="0" t="str">
        <f aca="false">IFERROR(VLOOKUP(D107,categorieen!$D:$E,2,0),"")</f>
        <v>Met 4 Wieken</v>
      </c>
      <c r="O107" s="0" t="str">
        <f aca="false">IFERROR(VLOOKUP(E107,categorieen!$D:$E,2,0),"")</f>
        <v>3x dezelfde letter</v>
      </c>
      <c r="P107" s="0" t="str">
        <f aca="false">IFERROR(VLOOKUP(F107,categorieen!$D:$E,2,0),"")</f>
        <v/>
      </c>
      <c r="Q107" s="0" t="str">
        <f aca="false">IFERROR(VLOOKUP(G107,categorieen!$D:$E,2,0),"")</f>
        <v/>
      </c>
      <c r="R107" s="0" t="str">
        <f aca="false">IFERROR(VLOOKUP(H107,categorieen!$D:$E,2,0),"")</f>
        <v/>
      </c>
      <c r="S107" s="0" t="str">
        <f aca="false">IFERROR(VLOOKUP(I107,categorieen!$D:$E,2,0),"")</f>
        <v/>
      </c>
      <c r="T107" s="0" t="str">
        <f aca="false">IFERROR(VLOOKUP(J107,categorieen!$D:$E,2,0),"")</f>
        <v/>
      </c>
    </row>
    <row r="108" customFormat="false" ht="15" hidden="false" customHeight="false" outlineLevel="0" collapsed="false">
      <c r="A108" s="0" t="s">
        <v>142</v>
      </c>
      <c r="C108" s="0" t="n">
        <v>1</v>
      </c>
      <c r="D108" s="0" t="n">
        <v>28</v>
      </c>
      <c r="M108" s="0" t="str">
        <f aca="false">IFERROR(VLOOKUP(C108,categorieen!$D:$E,2,0),"")</f>
        <v>Eerste- en Eindletter hetzelfde</v>
      </c>
      <c r="N108" s="0" t="str">
        <f aca="false">IFERROR(VLOOKUP(D108,categorieen!$D:$E,2,0),"")</f>
        <v>Heilige</v>
      </c>
      <c r="O108" s="0" t="str">
        <f aca="false">IFERROR(VLOOKUP(E108,categorieen!$D:$E,2,0),"")</f>
        <v/>
      </c>
      <c r="P108" s="0" t="str">
        <f aca="false">IFERROR(VLOOKUP(F108,categorieen!$D:$E,2,0),"")</f>
        <v/>
      </c>
      <c r="Q108" s="0" t="str">
        <f aca="false">IFERROR(VLOOKUP(G108,categorieen!$D:$E,2,0),"")</f>
        <v/>
      </c>
      <c r="R108" s="0" t="str">
        <f aca="false">IFERROR(VLOOKUP(H108,categorieen!$D:$E,2,0),"")</f>
        <v/>
      </c>
      <c r="S108" s="0" t="str">
        <f aca="false">IFERROR(VLOOKUP(I108,categorieen!$D:$E,2,0),"")</f>
        <v/>
      </c>
      <c r="T108" s="0" t="str">
        <f aca="false">IFERROR(VLOOKUP(J108,categorieen!$D:$E,2,0),"")</f>
        <v/>
      </c>
    </row>
    <row r="109" customFormat="false" ht="15" hidden="false" customHeight="false" outlineLevel="0" collapsed="false">
      <c r="A109" s="0" t="s">
        <v>143</v>
      </c>
      <c r="C109" s="0" t="n">
        <v>42</v>
      </c>
      <c r="D109" s="0" t="n">
        <v>28</v>
      </c>
      <c r="E109" s="0" t="n">
        <v>37</v>
      </c>
      <c r="M109" s="0" t="str">
        <f aca="false">IFERROR(VLOOKUP(C109,categorieen!$D:$E,2,0),"")</f>
        <v>7 letters</v>
      </c>
      <c r="N109" s="0" t="str">
        <f aca="false">IFERROR(VLOOKUP(D109,categorieen!$D:$E,2,0),"")</f>
        <v>Heilige</v>
      </c>
      <c r="O109" s="0" t="str">
        <f aca="false">IFERROR(VLOOKUP(E109,categorieen!$D:$E,2,0),"")</f>
        <v>s Hertogenbosch (DB)</v>
      </c>
      <c r="P109" s="0" t="str">
        <f aca="false">IFERROR(VLOOKUP(F109,categorieen!$D:$E,2,0),"")</f>
        <v/>
      </c>
      <c r="Q109" s="0" t="str">
        <f aca="false">IFERROR(VLOOKUP(G109,categorieen!$D:$E,2,0),"")</f>
        <v/>
      </c>
      <c r="R109" s="0" t="str">
        <f aca="false">IFERROR(VLOOKUP(H109,categorieen!$D:$E,2,0),"")</f>
        <v/>
      </c>
      <c r="S109" s="0" t="str">
        <f aca="false">IFERROR(VLOOKUP(I109,categorieen!$D:$E,2,0),"")</f>
        <v/>
      </c>
      <c r="T109" s="0" t="str">
        <f aca="false">IFERROR(VLOOKUP(J109,categorieen!$D:$E,2,0),"")</f>
        <v/>
      </c>
    </row>
    <row r="110" customFormat="false" ht="15" hidden="false" customHeight="false" outlineLevel="0" collapsed="false">
      <c r="A110" s="0" t="s">
        <v>144</v>
      </c>
      <c r="C110" s="0" t="n">
        <v>28</v>
      </c>
      <c r="D110" s="0" t="n">
        <v>33</v>
      </c>
      <c r="E110" s="0" t="n">
        <v>1</v>
      </c>
      <c r="F110" s="0" t="n">
        <v>27</v>
      </c>
      <c r="G110" s="0" t="n">
        <v>2</v>
      </c>
      <c r="M110" s="0" t="str">
        <f aca="false">IFERROR(VLOOKUP(C110,categorieen!$D:$E,2,0),"")</f>
        <v>Heilige</v>
      </c>
      <c r="N110" s="0" t="str">
        <f aca="false">IFERROR(VLOOKUP(D110,categorieen!$D:$E,2,0),"")</f>
        <v>076 (Breda)</v>
      </c>
      <c r="O110" s="0" t="str">
        <f aca="false">IFERROR(VLOOKUP(E110,categorieen!$D:$E,2,0),"")</f>
        <v>Eerste- en Eindletter hetzelfde</v>
      </c>
      <c r="P110" s="0" t="str">
        <f aca="false">IFERROR(VLOOKUP(F110,categorieen!$D:$E,2,0),"")</f>
        <v>Eten en Drinken (ED)</v>
      </c>
      <c r="Q110" s="0" t="str">
        <f aca="false">IFERROR(VLOOKUP(G110,categorieen!$D:$E,2,0),"")</f>
        <v>(stand)beeld / (Rijks)monument</v>
      </c>
      <c r="R110" s="0" t="str">
        <f aca="false">IFERROR(VLOOKUP(H110,categorieen!$D:$E,2,0),"")</f>
        <v/>
      </c>
      <c r="S110" s="0" t="str">
        <f aca="false">IFERROR(VLOOKUP(I110,categorieen!$D:$E,2,0),"")</f>
        <v/>
      </c>
      <c r="T110" s="0" t="str">
        <f aca="false">IFERROR(VLOOKUP(J110,categorieen!$D:$E,2,0),"")</f>
        <v/>
      </c>
    </row>
    <row r="111" customFormat="false" ht="15" hidden="false" customHeight="false" outlineLevel="0" collapsed="false">
      <c r="A111" s="1" t="s">
        <v>145</v>
      </c>
      <c r="C111" s="1" t="n">
        <v>13</v>
      </c>
      <c r="D111" s="1" t="n">
        <v>22</v>
      </c>
      <c r="E111" s="0" t="n">
        <v>33</v>
      </c>
      <c r="M111" s="0" t="str">
        <f aca="false">IFERROR(VLOOKUP(C111,categorieen!$D:$E,2,0),"")</f>
        <v>Met dubbel T</v>
      </c>
      <c r="N111" s="0" t="str">
        <f aca="false">IFERROR(VLOOKUP(D111,categorieen!$D:$E,2,0),"")</f>
        <v>3x dezelfde letter</v>
      </c>
      <c r="O111" s="0" t="str">
        <f aca="false">IFERROR(VLOOKUP(E111,categorieen!$D:$E,2,0),"")</f>
        <v>076 (Breda)</v>
      </c>
      <c r="P111" s="0" t="str">
        <f aca="false">IFERROR(VLOOKUP(F111,categorieen!$D:$E,2,0),"")</f>
        <v/>
      </c>
      <c r="Q111" s="0" t="str">
        <f aca="false">IFERROR(VLOOKUP(G111,categorieen!$D:$E,2,0),"")</f>
        <v/>
      </c>
      <c r="R111" s="0" t="str">
        <f aca="false">IFERROR(VLOOKUP(H111,categorieen!$D:$E,2,0),"")</f>
        <v/>
      </c>
      <c r="S111" s="0" t="str">
        <f aca="false">IFERROR(VLOOKUP(I111,categorieen!$D:$E,2,0),"")</f>
        <v/>
      </c>
      <c r="T111" s="0" t="str">
        <f aca="false">IFERROR(VLOOKUP(J111,categorieen!$D:$E,2,0),"")</f>
        <v/>
      </c>
    </row>
    <row r="112" customFormat="false" ht="15" hidden="false" customHeight="false" outlineLevel="0" collapsed="false">
      <c r="A112" s="0" t="s">
        <v>146</v>
      </c>
      <c r="C112" s="0" t="n">
        <v>8</v>
      </c>
      <c r="D112" s="0" t="n">
        <v>1</v>
      </c>
      <c r="E112" s="0" t="n">
        <v>22</v>
      </c>
      <c r="M112" s="0" t="str">
        <f aca="false">IFERROR(VLOOKUP(C112,categorieen!$D:$E,2,0),"")</f>
        <v>040 (Eindhoven)</v>
      </c>
      <c r="N112" s="0" t="str">
        <f aca="false">IFERROR(VLOOKUP(D112,categorieen!$D:$E,2,0),"")</f>
        <v>Eerste- en Eindletter hetzelfde</v>
      </c>
      <c r="O112" s="0" t="str">
        <f aca="false">IFERROR(VLOOKUP(E112,categorieen!$D:$E,2,0),"")</f>
        <v>3x dezelfde letter</v>
      </c>
      <c r="P112" s="0" t="str">
        <f aca="false">IFERROR(VLOOKUP(F112,categorieen!$D:$E,2,0),"")</f>
        <v/>
      </c>
      <c r="Q112" s="0" t="str">
        <f aca="false">IFERROR(VLOOKUP(G112,categorieen!$D:$E,2,0),"")</f>
        <v/>
      </c>
      <c r="R112" s="0" t="str">
        <f aca="false">IFERROR(VLOOKUP(H112,categorieen!$D:$E,2,0),"")</f>
        <v/>
      </c>
      <c r="S112" s="0" t="str">
        <f aca="false">IFERROR(VLOOKUP(I112,categorieen!$D:$E,2,0),"")</f>
        <v/>
      </c>
      <c r="T112" s="0" t="str">
        <f aca="false">IFERROR(VLOOKUP(J112,categorieen!$D:$E,2,0),"")</f>
        <v/>
      </c>
    </row>
    <row r="113" customFormat="false" ht="15" hidden="false" customHeight="false" outlineLevel="0" collapsed="false">
      <c r="A113" s="0" t="s">
        <v>147</v>
      </c>
      <c r="C113" s="0" t="n">
        <v>30</v>
      </c>
      <c r="D113" s="0" t="n">
        <v>26</v>
      </c>
      <c r="E113" s="0" t="n">
        <v>25</v>
      </c>
      <c r="M113" s="0" t="str">
        <f aca="false">IFERROR(VLOOKUP(C113,categorieen!$D:$E,2,0),"")</f>
        <v>In de volksmond (IDV)</v>
      </c>
      <c r="N113" s="0" t="str">
        <f aca="false">IFERROR(VLOOKUP(D113,categorieen!$D:$E,2,0),"")</f>
        <v>Eindigt op el</v>
      </c>
      <c r="O113" s="0" t="str">
        <f aca="false">IFERROR(VLOOKUP(E113,categorieen!$D:$E,2,0),"")</f>
        <v>1 van de 8</v>
      </c>
      <c r="P113" s="0" t="str">
        <f aca="false">IFERROR(VLOOKUP(F113,categorieen!$D:$E,2,0),"")</f>
        <v/>
      </c>
      <c r="Q113" s="0" t="str">
        <f aca="false">IFERROR(VLOOKUP(G113,categorieen!$D:$E,2,0),"")</f>
        <v/>
      </c>
      <c r="R113" s="0" t="str">
        <f aca="false">IFERROR(VLOOKUP(H113,categorieen!$D:$E,2,0),"")</f>
        <v/>
      </c>
      <c r="S113" s="0" t="str">
        <f aca="false">IFERROR(VLOOKUP(I113,categorieen!$D:$E,2,0),"")</f>
        <v/>
      </c>
      <c r="T113" s="0" t="str">
        <f aca="false">IFERROR(VLOOKUP(J113,categorieen!$D:$E,2,0),"")</f>
        <v/>
      </c>
    </row>
    <row r="114" customFormat="false" ht="15" hidden="false" customHeight="false" outlineLevel="0" collapsed="false">
      <c r="A114" s="6" t="s">
        <v>148</v>
      </c>
      <c r="C114" s="1" t="n">
        <v>1</v>
      </c>
      <c r="D114" s="0" t="n">
        <v>25</v>
      </c>
      <c r="E114" s="0" t="n">
        <v>30</v>
      </c>
      <c r="F114" s="0" t="n">
        <v>7</v>
      </c>
      <c r="M114" s="0" t="str">
        <f aca="false">IFERROR(VLOOKUP(C114,categorieen!$D:$E,2,0),"")</f>
        <v>Eerste- en Eindletter hetzelfde</v>
      </c>
      <c r="N114" s="0" t="str">
        <f aca="false">IFERROR(VLOOKUP(D114,categorieen!$D:$E,2,0),"")</f>
        <v>1 van de 8</v>
      </c>
      <c r="O114" s="0" t="str">
        <f aca="false">IFERROR(VLOOKUP(E114,categorieen!$D:$E,2,0),"")</f>
        <v>In de volksmond (IDV)</v>
      </c>
      <c r="P114" s="0" t="str">
        <f aca="false">IFERROR(VLOOKUP(F114,categorieen!$D:$E,2,0),"")</f>
        <v>Alaaf</v>
      </c>
      <c r="Q114" s="0" t="str">
        <f aca="false">IFERROR(VLOOKUP(G114,categorieen!$D:$E,2,0),"")</f>
        <v/>
      </c>
      <c r="R114" s="0" t="str">
        <f aca="false">IFERROR(VLOOKUP(H114,categorieen!$D:$E,2,0),"")</f>
        <v/>
      </c>
      <c r="S114" s="0" t="str">
        <f aca="false">IFERROR(VLOOKUP(I114,categorieen!$D:$E,2,0),"")</f>
        <v/>
      </c>
      <c r="T114" s="0" t="str">
        <f aca="false">IFERROR(VLOOKUP(J114,categorieen!$D:$E,2,0),"")</f>
        <v/>
      </c>
    </row>
    <row r="115" customFormat="false" ht="15" hidden="false" customHeight="false" outlineLevel="0" collapsed="false">
      <c r="A115" s="0" t="s">
        <v>149</v>
      </c>
      <c r="C115" s="0" t="n">
        <v>21</v>
      </c>
      <c r="D115" s="0" t="n">
        <v>28</v>
      </c>
      <c r="M115" s="0" t="str">
        <f aca="false">IFERROR(VLOOKUP(C115,categorieen!$D:$E,2,0),"")</f>
        <v>West Brabant</v>
      </c>
      <c r="N115" s="0" t="str">
        <f aca="false">IFERROR(VLOOKUP(D115,categorieen!$D:$E,2,0),"")</f>
        <v>Heilige</v>
      </c>
      <c r="O115" s="0" t="str">
        <f aca="false">IFERROR(VLOOKUP(E115,categorieen!$D:$E,2,0),"")</f>
        <v/>
      </c>
      <c r="P115" s="0" t="str">
        <f aca="false">IFERROR(VLOOKUP(F115,categorieen!$D:$E,2,0),"")</f>
        <v/>
      </c>
      <c r="Q115" s="0" t="str">
        <f aca="false">IFERROR(VLOOKUP(G115,categorieen!$D:$E,2,0),"")</f>
        <v/>
      </c>
      <c r="R115" s="0" t="str">
        <f aca="false">IFERROR(VLOOKUP(H115,categorieen!$D:$E,2,0),"")</f>
        <v/>
      </c>
      <c r="S115" s="0" t="str">
        <f aca="false">IFERROR(VLOOKUP(I115,categorieen!$D:$E,2,0),"")</f>
        <v/>
      </c>
      <c r="T115" s="0" t="str">
        <f aca="false">IFERROR(VLOOKUP(J115,categorieen!$D:$E,2,0),"")</f>
        <v/>
      </c>
    </row>
    <row r="116" customFormat="false" ht="15" hidden="false" customHeight="false" outlineLevel="0" collapsed="false">
      <c r="A116" s="8" t="s">
        <v>150</v>
      </c>
      <c r="C116" s="0" t="n">
        <v>12</v>
      </c>
      <c r="D116" s="0" t="n">
        <v>22</v>
      </c>
      <c r="M116" s="0" t="str">
        <f aca="false">IFERROR(VLOOKUP(C116,categorieen!$D:$E,2,0),"")</f>
        <v>Water</v>
      </c>
      <c r="N116" s="0" t="str">
        <f aca="false">IFERROR(VLOOKUP(D116,categorieen!$D:$E,2,0),"")</f>
        <v>3x dezelfde letter</v>
      </c>
      <c r="O116" s="0" t="str">
        <f aca="false">IFERROR(VLOOKUP(E116,categorieen!$D:$E,2,0),"")</f>
        <v/>
      </c>
      <c r="P116" s="0" t="str">
        <f aca="false">IFERROR(VLOOKUP(F116,categorieen!$D:$E,2,0),"")</f>
        <v/>
      </c>
      <c r="Q116" s="0" t="str">
        <f aca="false">IFERROR(VLOOKUP(G116,categorieen!$D:$E,2,0),"")</f>
        <v/>
      </c>
      <c r="R116" s="0" t="str">
        <f aca="false">IFERROR(VLOOKUP(H116,categorieen!$D:$E,2,0),"")</f>
        <v/>
      </c>
      <c r="S116" s="0" t="str">
        <f aca="false">IFERROR(VLOOKUP(I116,categorieen!$D:$E,2,0),"")</f>
        <v/>
      </c>
      <c r="T116" s="0" t="str">
        <f aca="false">IFERROR(VLOOKUP(J116,categorieen!$D:$E,2,0),"")</f>
        <v/>
      </c>
    </row>
    <row r="117" customFormat="false" ht="15" hidden="false" customHeight="false" outlineLevel="0" collapsed="false">
      <c r="A117" s="8" t="s">
        <v>151</v>
      </c>
      <c r="C117" s="0" t="n">
        <v>36</v>
      </c>
      <c r="D117" s="0" t="n">
        <v>7</v>
      </c>
      <c r="E117" s="0" t="n">
        <v>11</v>
      </c>
      <c r="M117" s="0" t="str">
        <f aca="false">IFERROR(VLOOKUP(C117,categorieen!$D:$E,2,0),"")</f>
        <v>Plein</v>
      </c>
      <c r="N117" s="0" t="str">
        <f aca="false">IFERROR(VLOOKUP(D117,categorieen!$D:$E,2,0),"")</f>
        <v>Alaaf</v>
      </c>
      <c r="O117" s="0" t="str">
        <f aca="false">IFERROR(VLOOKUP(E117,categorieen!$D:$E,2,0),"")</f>
        <v>Tilburg</v>
      </c>
      <c r="P117" s="0" t="str">
        <f aca="false">IFERROR(VLOOKUP(F117,categorieen!$D:$E,2,0),"")</f>
        <v/>
      </c>
      <c r="Q117" s="0" t="str">
        <f aca="false">IFERROR(VLOOKUP(G117,categorieen!$D:$E,2,0),"")</f>
        <v/>
      </c>
      <c r="R117" s="0" t="str">
        <f aca="false">IFERROR(VLOOKUP(H117,categorieen!$D:$E,2,0),"")</f>
        <v/>
      </c>
      <c r="S117" s="0" t="str">
        <f aca="false">IFERROR(VLOOKUP(I117,categorieen!$D:$E,2,0),"")</f>
        <v/>
      </c>
      <c r="T117" s="0" t="str">
        <f aca="false">IFERROR(VLOOKUP(J117,categorieen!$D:$E,2,0),"")</f>
        <v/>
      </c>
    </row>
    <row r="118" customFormat="false" ht="15" hidden="false" customHeight="false" outlineLevel="0" collapsed="false">
      <c r="A118" s="8" t="s">
        <v>152</v>
      </c>
      <c r="C118" s="0" t="n">
        <v>16</v>
      </c>
      <c r="D118" s="0" t="n">
        <v>21</v>
      </c>
      <c r="E118" s="0" t="n">
        <v>12</v>
      </c>
      <c r="M118" s="0" t="str">
        <f aca="false">IFERROR(VLOOKUP(C118,categorieen!$D:$E,2,0),"")</f>
        <v>Buurtschap</v>
      </c>
      <c r="N118" s="0" t="str">
        <f aca="false">IFERROR(VLOOKUP(D118,categorieen!$D:$E,2,0),"")</f>
        <v>West Brabant</v>
      </c>
      <c r="O118" s="0" t="str">
        <f aca="false">IFERROR(VLOOKUP(E118,categorieen!$D:$E,2,0),"")</f>
        <v>Water</v>
      </c>
      <c r="P118" s="0" t="str">
        <f aca="false">IFERROR(VLOOKUP(F118,categorieen!$D:$E,2,0),"")</f>
        <v/>
      </c>
      <c r="Q118" s="0" t="str">
        <f aca="false">IFERROR(VLOOKUP(G118,categorieen!$D:$E,2,0),"")</f>
        <v/>
      </c>
      <c r="R118" s="0" t="str">
        <f aca="false">IFERROR(VLOOKUP(H118,categorieen!$D:$E,2,0),"")</f>
        <v/>
      </c>
      <c r="S118" s="0" t="str">
        <f aca="false">IFERROR(VLOOKUP(I118,categorieen!$D:$E,2,0),"")</f>
        <v/>
      </c>
      <c r="T118" s="0" t="str">
        <f aca="false">IFERROR(VLOOKUP(J118,categorieen!$D:$E,2,0),"")</f>
        <v/>
      </c>
    </row>
    <row r="119" customFormat="false" ht="15" hidden="false" customHeight="false" outlineLevel="0" collapsed="false">
      <c r="A119" s="0" t="s">
        <v>153</v>
      </c>
      <c r="C119" s="0" t="n">
        <v>42</v>
      </c>
      <c r="D119" s="0" t="n">
        <v>5</v>
      </c>
      <c r="E119" s="0" t="n">
        <v>26</v>
      </c>
      <c r="F119" s="0" t="n">
        <v>18</v>
      </c>
      <c r="G119" s="0" t="n">
        <v>38</v>
      </c>
      <c r="M119" s="0" t="str">
        <f aca="false">IFERROR(VLOOKUP(C119,categorieen!$D:$E,2,0),"")</f>
        <v>7 letters</v>
      </c>
      <c r="N119" s="0" t="str">
        <f aca="false">IFERROR(VLOOKUP(D119,categorieen!$D:$E,2,0),"")</f>
        <v>Bekende Brabanders</v>
      </c>
      <c r="O119" s="0" t="str">
        <f aca="false">IFERROR(VLOOKUP(E119,categorieen!$D:$E,2,0),"")</f>
        <v>Eindigt op el</v>
      </c>
      <c r="P119" s="0" t="str">
        <f aca="false">IFERROR(VLOOKUP(F119,categorieen!$D:$E,2,0),"")</f>
        <v>Willem II</v>
      </c>
      <c r="Q119" s="0" t="str">
        <f aca="false">IFERROR(VLOOKUP(G119,categorieen!$D:$E,2,0),"")</f>
        <v>Sport</v>
      </c>
      <c r="R119" s="0" t="str">
        <f aca="false">IFERROR(VLOOKUP(H119,categorieen!$D:$E,2,0),"")</f>
        <v/>
      </c>
      <c r="S119" s="0" t="str">
        <f aca="false">IFERROR(VLOOKUP(I119,categorieen!$D:$E,2,0),"")</f>
        <v/>
      </c>
      <c r="T119" s="0" t="str">
        <f aca="false">IFERROR(VLOOKUP(J119,categorieen!$D:$E,2,0),"")</f>
        <v/>
      </c>
    </row>
    <row r="120" customFormat="false" ht="15" hidden="false" customHeight="false" outlineLevel="0" collapsed="false">
      <c r="A120" s="0" t="s">
        <v>154</v>
      </c>
      <c r="C120" s="0" t="n">
        <v>17</v>
      </c>
      <c r="D120" s="0" t="n">
        <v>26</v>
      </c>
      <c r="E120" s="0" t="n">
        <v>27</v>
      </c>
      <c r="F120" s="0" t="n">
        <v>5</v>
      </c>
      <c r="G120" s="0" t="n">
        <v>30</v>
      </c>
      <c r="H120" s="0" t="n">
        <v>38</v>
      </c>
      <c r="M120" s="0" t="str">
        <f aca="false">IFERROR(VLOOKUP(C120,categorieen!$D:$E,2,0),"")</f>
        <v>Met dubbel s</v>
      </c>
      <c r="N120" s="0" t="str">
        <f aca="false">IFERROR(VLOOKUP(D120,categorieen!$D:$E,2,0),"")</f>
        <v>Eindigt op el</v>
      </c>
      <c r="O120" s="0" t="str">
        <f aca="false">IFERROR(VLOOKUP(E120,categorieen!$D:$E,2,0),"")</f>
        <v>Eten en Drinken (ED)</v>
      </c>
      <c r="P120" s="0" t="str">
        <f aca="false">IFERROR(VLOOKUP(F120,categorieen!$D:$E,2,0),"")</f>
        <v>Bekende Brabanders</v>
      </c>
      <c r="Q120" s="0" t="str">
        <f aca="false">IFERROR(VLOOKUP(G120,categorieen!$D:$E,2,0),"")</f>
        <v>In de volksmond (IDV)</v>
      </c>
      <c r="R120" s="0" t="str">
        <f aca="false">IFERROR(VLOOKUP(H120,categorieen!$D:$E,2,0),"")</f>
        <v>Sport</v>
      </c>
      <c r="S120" s="0" t="str">
        <f aca="false">IFERROR(VLOOKUP(I120,categorieen!$D:$E,2,0),"")</f>
        <v/>
      </c>
      <c r="T120" s="0" t="str">
        <f aca="false">IFERROR(VLOOKUP(J120,categorieen!$D:$E,2,0),"")</f>
        <v/>
      </c>
    </row>
    <row r="121" customFormat="false" ht="15" hidden="false" customHeight="false" outlineLevel="0" collapsed="false">
      <c r="A121" s="0" t="s">
        <v>155</v>
      </c>
      <c r="C121" s="0" t="n">
        <v>35</v>
      </c>
      <c r="D121" s="0" t="n">
        <v>19</v>
      </c>
      <c r="E121" s="0" t="n">
        <v>27</v>
      </c>
      <c r="M121" s="0" t="str">
        <f aca="false">IFERROR(VLOOKUP(C121,categorieen!$D:$E,2,0),"")</f>
        <v>Parel in het Groen (PITG)</v>
      </c>
      <c r="N121" s="0" t="str">
        <f aca="false">IFERROR(VLOOKUP(D121,categorieen!$D:$E,2,0),"")</f>
        <v>Natuur</v>
      </c>
      <c r="O121" s="0" t="str">
        <f aca="false">IFERROR(VLOOKUP(E121,categorieen!$D:$E,2,0),"")</f>
        <v>Eten en Drinken (ED)</v>
      </c>
      <c r="P121" s="0" t="str">
        <f aca="false">IFERROR(VLOOKUP(F121,categorieen!$D:$E,2,0),"")</f>
        <v/>
      </c>
      <c r="Q121" s="0" t="str">
        <f aca="false">IFERROR(VLOOKUP(G121,categorieen!$D:$E,2,0),"")</f>
        <v/>
      </c>
      <c r="R121" s="0" t="str">
        <f aca="false">IFERROR(VLOOKUP(H121,categorieen!$D:$E,2,0),"")</f>
        <v/>
      </c>
      <c r="S121" s="0" t="str">
        <f aca="false">IFERROR(VLOOKUP(I121,categorieen!$D:$E,2,0),"")</f>
        <v/>
      </c>
      <c r="T121" s="0" t="str">
        <f aca="false">IFERROR(VLOOKUP(J121,categorieen!$D:$E,2,0),"")</f>
        <v/>
      </c>
    </row>
    <row r="122" customFormat="false" ht="15" hidden="false" customHeight="false" outlineLevel="0" collapsed="false">
      <c r="A122" s="0" t="s">
        <v>156</v>
      </c>
      <c r="C122" s="0" t="n">
        <v>39</v>
      </c>
      <c r="D122" s="0" t="n">
        <v>42</v>
      </c>
      <c r="M122" s="0" t="str">
        <f aca="false">IFERROR(VLOOKUP(C122,categorieen!$D:$E,2,0),"")</f>
        <v>Theater</v>
      </c>
      <c r="N122" s="0" t="str">
        <f aca="false">IFERROR(VLOOKUP(D122,categorieen!$D:$E,2,0),"")</f>
        <v>7 letters</v>
      </c>
      <c r="O122" s="0" t="str">
        <f aca="false">IFERROR(VLOOKUP(E122,categorieen!$D:$E,2,0),"")</f>
        <v/>
      </c>
      <c r="P122" s="0" t="str">
        <f aca="false">IFERROR(VLOOKUP(F122,categorieen!$D:$E,2,0),"")</f>
        <v/>
      </c>
      <c r="Q122" s="0" t="str">
        <f aca="false">IFERROR(VLOOKUP(G122,categorieen!$D:$E,2,0),"")</f>
        <v/>
      </c>
      <c r="R122" s="0" t="str">
        <f aca="false">IFERROR(VLOOKUP(H122,categorieen!$D:$E,2,0),"")</f>
        <v/>
      </c>
      <c r="S122" s="0" t="str">
        <f aca="false">IFERROR(VLOOKUP(I122,categorieen!$D:$E,2,0),"")</f>
        <v/>
      </c>
      <c r="T122" s="0" t="str">
        <f aca="false">IFERROR(VLOOKUP(J122,categorieen!$D:$E,2,0),"")</f>
        <v/>
      </c>
    </row>
    <row r="123" customFormat="false" ht="15" hidden="false" customHeight="false" outlineLevel="0" collapsed="false">
      <c r="A123" s="0" t="s">
        <v>157</v>
      </c>
      <c r="C123" s="0" t="n">
        <v>16</v>
      </c>
      <c r="D123" s="0" t="n">
        <v>11</v>
      </c>
      <c r="E123" s="0" t="n">
        <v>15</v>
      </c>
      <c r="M123" s="0" t="str">
        <f aca="false">IFERROR(VLOOKUP(C123,categorieen!$D:$E,2,0),"")</f>
        <v>Buurtschap</v>
      </c>
      <c r="N123" s="0" t="str">
        <f aca="false">IFERROR(VLOOKUP(D123,categorieen!$D:$E,2,0),"")</f>
        <v>Tilburg</v>
      </c>
      <c r="O123" s="0" t="str">
        <f aca="false">IFERROR(VLOOKUP(E123,categorieen!$D:$E,2,0),"")</f>
        <v>Getal/Cijfer</v>
      </c>
      <c r="P123" s="0" t="str">
        <f aca="false">IFERROR(VLOOKUP(F123,categorieen!$D:$E,2,0),"")</f>
        <v/>
      </c>
      <c r="Q123" s="0" t="str">
        <f aca="false">IFERROR(VLOOKUP(G123,categorieen!$D:$E,2,0),"")</f>
        <v/>
      </c>
      <c r="R123" s="0" t="str">
        <f aca="false">IFERROR(VLOOKUP(H123,categorieen!$D:$E,2,0),"")</f>
        <v/>
      </c>
      <c r="S123" s="0" t="str">
        <f aca="false">IFERROR(VLOOKUP(I123,categorieen!$D:$E,2,0),"")</f>
        <v/>
      </c>
      <c r="T123" s="0" t="str">
        <f aca="false">IFERROR(VLOOKUP(J123,categorieen!$D:$E,2,0),"")</f>
        <v/>
      </c>
    </row>
    <row r="124" customFormat="false" ht="15" hidden="false" customHeight="false" outlineLevel="0" collapsed="false">
      <c r="A124" s="0" t="s">
        <v>158</v>
      </c>
      <c r="C124" s="0" t="n">
        <v>10</v>
      </c>
      <c r="D124" s="0" t="n">
        <v>11</v>
      </c>
      <c r="E124" s="0" t="n">
        <v>21</v>
      </c>
      <c r="M124" s="0" t="str">
        <f aca="false">IFERROR(VLOOKUP(C124,categorieen!$D:$E,2,0),"")</f>
        <v>Begint met een W</v>
      </c>
      <c r="N124" s="0" t="str">
        <f aca="false">IFERROR(VLOOKUP(D124,categorieen!$D:$E,2,0),"")</f>
        <v>Tilburg</v>
      </c>
      <c r="O124" s="0" t="str">
        <f aca="false">IFERROR(VLOOKUP(E124,categorieen!$D:$E,2,0),"")</f>
        <v>West Brabant</v>
      </c>
      <c r="P124" s="0" t="str">
        <f aca="false">IFERROR(VLOOKUP(F124,categorieen!$D:$E,2,0),"")</f>
        <v/>
      </c>
      <c r="Q124" s="0" t="str">
        <f aca="false">IFERROR(VLOOKUP(G124,categorieen!$D:$E,2,0),"")</f>
        <v/>
      </c>
      <c r="R124" s="0" t="str">
        <f aca="false">IFERROR(VLOOKUP(H124,categorieen!$D:$E,2,0),"")</f>
        <v/>
      </c>
      <c r="S124" s="0" t="str">
        <f aca="false">IFERROR(VLOOKUP(I124,categorieen!$D:$E,2,0),"")</f>
        <v/>
      </c>
      <c r="T124" s="0" t="str">
        <f aca="false">IFERROR(VLOOKUP(J124,categorieen!$D:$E,2,0),"")</f>
        <v/>
      </c>
    </row>
    <row r="125" customFormat="false" ht="15" hidden="false" customHeight="false" outlineLevel="0" collapsed="false">
      <c r="A125" s="0" t="s">
        <v>159</v>
      </c>
      <c r="C125" s="0" t="n">
        <v>10</v>
      </c>
      <c r="D125" s="0" t="n">
        <v>21</v>
      </c>
      <c r="E125" s="0" t="n">
        <v>33</v>
      </c>
      <c r="F125" s="0" t="n">
        <v>12</v>
      </c>
      <c r="G125" s="0" t="n">
        <v>19</v>
      </c>
      <c r="H125" s="0" t="n">
        <v>9</v>
      </c>
      <c r="M125" s="0" t="str">
        <f aca="false">IFERROR(VLOOKUP(C125,categorieen!$D:$E,2,0),"")</f>
        <v>Begint met een W</v>
      </c>
      <c r="N125" s="0" t="str">
        <f aca="false">IFERROR(VLOOKUP(D125,categorieen!$D:$E,2,0),"")</f>
        <v>West Brabant</v>
      </c>
      <c r="O125" s="0" t="str">
        <f aca="false">IFERROR(VLOOKUP(E125,categorieen!$D:$E,2,0),"")</f>
        <v>076 (Breda)</v>
      </c>
      <c r="P125" s="0" t="str">
        <f aca="false">IFERROR(VLOOKUP(F125,categorieen!$D:$E,2,0),"")</f>
        <v>Water</v>
      </c>
      <c r="Q125" s="0" t="str">
        <f aca="false">IFERROR(VLOOKUP(G125,categorieen!$D:$E,2,0),"")</f>
        <v>Natuur</v>
      </c>
      <c r="R125" s="0" t="str">
        <f aca="false">IFERROR(VLOOKUP(H125,categorieen!$D:$E,2,0),"")</f>
        <v>Kiosk</v>
      </c>
      <c r="S125" s="0" t="str">
        <f aca="false">IFERROR(VLOOKUP(I125,categorieen!$D:$E,2,0),"")</f>
        <v/>
      </c>
      <c r="T125" s="0" t="str">
        <f aca="false">IFERROR(VLOOKUP(J125,categorieen!$D:$E,2,0),"")</f>
        <v/>
      </c>
    </row>
    <row r="126" customFormat="false" ht="15" hidden="false" customHeight="false" outlineLevel="0" collapsed="false">
      <c r="A126" s="0" t="s">
        <v>160</v>
      </c>
      <c r="C126" s="0" t="n">
        <v>10</v>
      </c>
      <c r="D126" s="0" t="n">
        <v>38</v>
      </c>
      <c r="E126" s="0" t="n">
        <v>5</v>
      </c>
      <c r="F126" s="0" t="n">
        <v>31</v>
      </c>
      <c r="M126" s="0" t="str">
        <f aca="false">IFERROR(VLOOKUP(C126,categorieen!$D:$E,2,0),"")</f>
        <v>Begint met een W</v>
      </c>
      <c r="N126" s="0" t="str">
        <f aca="false">IFERROR(VLOOKUP(D126,categorieen!$D:$E,2,0),"")</f>
        <v>Sport</v>
      </c>
      <c r="O126" s="0" t="str">
        <f aca="false">IFERROR(VLOOKUP(E126,categorieen!$D:$E,2,0),"")</f>
        <v>Bekende Brabanders</v>
      </c>
      <c r="P126" s="0" t="str">
        <f aca="false">IFERROR(VLOOKUP(F126,categorieen!$D:$E,2,0),"")</f>
        <v>Kleurrijk</v>
      </c>
      <c r="Q126" s="0" t="str">
        <f aca="false">IFERROR(VLOOKUP(G126,categorieen!$D:$E,2,0),"")</f>
        <v/>
      </c>
      <c r="R126" s="0" t="str">
        <f aca="false">IFERROR(VLOOKUP(H126,categorieen!$D:$E,2,0),"")</f>
        <v/>
      </c>
      <c r="S126" s="0" t="str">
        <f aca="false">IFERROR(VLOOKUP(I126,categorieen!$D:$E,2,0),"")</f>
        <v/>
      </c>
      <c r="T126" s="0" t="str">
        <f aca="false">IFERROR(VLOOKUP(J126,categorieen!$D:$E,2,0),"")</f>
        <v/>
      </c>
    </row>
    <row r="127" customFormat="false" ht="15" hidden="false" customHeight="false" outlineLevel="0" collapsed="false">
      <c r="A127" s="0" t="s">
        <v>161</v>
      </c>
      <c r="C127" s="0" t="n">
        <v>10</v>
      </c>
      <c r="D127" s="0" t="n">
        <v>4</v>
      </c>
      <c r="E127" s="0" t="n">
        <v>16</v>
      </c>
      <c r="M127" s="0" t="str">
        <f aca="false">IFERROR(VLOOKUP(C127,categorieen!$D:$E,2,0),"")</f>
        <v>Begint met een W</v>
      </c>
      <c r="N127" s="0" t="str">
        <f aca="false">IFERROR(VLOOKUP(D127,categorieen!$D:$E,2,0),"")</f>
        <v>Zes letters</v>
      </c>
      <c r="O127" s="0" t="str">
        <f aca="false">IFERROR(VLOOKUP(E127,categorieen!$D:$E,2,0),"")</f>
        <v>Buurtschap</v>
      </c>
      <c r="P127" s="0" t="str">
        <f aca="false">IFERROR(VLOOKUP(F127,categorieen!$D:$E,2,0),"")</f>
        <v/>
      </c>
      <c r="Q127" s="0" t="str">
        <f aca="false">IFERROR(VLOOKUP(G127,categorieen!$D:$E,2,0),"")</f>
        <v/>
      </c>
      <c r="R127" s="0" t="str">
        <f aca="false">IFERROR(VLOOKUP(H127,categorieen!$D:$E,2,0),"")</f>
        <v/>
      </c>
      <c r="S127" s="0" t="str">
        <f aca="false">IFERROR(VLOOKUP(I127,categorieen!$D:$E,2,0),"")</f>
        <v/>
      </c>
      <c r="T127" s="0" t="str">
        <f aca="false">IFERROR(VLOOKUP(J127,categorieen!$D:$E,2,0),"")</f>
        <v/>
      </c>
    </row>
    <row r="128" customFormat="false" ht="15" hidden="false" customHeight="false" outlineLevel="0" collapsed="false">
      <c r="A128" s="0" t="s">
        <v>162</v>
      </c>
      <c r="C128" s="0" t="n">
        <v>25</v>
      </c>
      <c r="D128" s="0" t="n">
        <v>10</v>
      </c>
      <c r="E128" s="0" t="n">
        <v>8</v>
      </c>
      <c r="M128" s="0" t="str">
        <f aca="false">IFERROR(VLOOKUP(C128,categorieen!$D:$E,2,0),"")</f>
        <v>1 van de 8</v>
      </c>
      <c r="N128" s="0" t="str">
        <f aca="false">IFERROR(VLOOKUP(D128,categorieen!$D:$E,2,0),"")</f>
        <v>Begint met een W</v>
      </c>
      <c r="O128" s="0" t="str">
        <f aca="false">IFERROR(VLOOKUP(E128,categorieen!$D:$E,2,0),"")</f>
        <v>040 (Eindhoven)</v>
      </c>
      <c r="P128" s="0" t="str">
        <f aca="false">IFERROR(VLOOKUP(F128,categorieen!$D:$E,2,0),"")</f>
        <v/>
      </c>
      <c r="Q128" s="0" t="str">
        <f aca="false">IFERROR(VLOOKUP(G128,categorieen!$D:$E,2,0),"")</f>
        <v/>
      </c>
      <c r="R128" s="0" t="str">
        <f aca="false">IFERROR(VLOOKUP(H128,categorieen!$D:$E,2,0),"")</f>
        <v/>
      </c>
      <c r="S128" s="0" t="str">
        <f aca="false">IFERROR(VLOOKUP(I128,categorieen!$D:$E,2,0),"")</f>
        <v/>
      </c>
      <c r="T128" s="0" t="str">
        <f aca="false">IFERROR(VLOOKUP(J128,categorieen!$D:$E,2,0),"")</f>
        <v/>
      </c>
    </row>
    <row r="129" customFormat="false" ht="15" hidden="false" customHeight="false" outlineLevel="0" collapsed="false">
      <c r="A129" s="1" t="s">
        <v>163</v>
      </c>
      <c r="C129" s="1" t="n">
        <v>2</v>
      </c>
      <c r="D129" s="1" t="n">
        <v>13</v>
      </c>
      <c r="E129" s="0" t="n">
        <v>30</v>
      </c>
      <c r="M129" s="0" t="str">
        <f aca="false">IFERROR(VLOOKUP(C129,categorieen!$D:$E,2,0),"")</f>
        <v>(stand)beeld / (Rijks)monument</v>
      </c>
      <c r="N129" s="0" t="str">
        <f aca="false">IFERROR(VLOOKUP(D129,categorieen!$D:$E,2,0),"")</f>
        <v>Met dubbel T</v>
      </c>
      <c r="O129" s="0" t="str">
        <f aca="false">IFERROR(VLOOKUP(E129,categorieen!$D:$E,2,0),"")</f>
        <v>In de volksmond (IDV)</v>
      </c>
      <c r="P129" s="0" t="str">
        <f aca="false">IFERROR(VLOOKUP(F129,categorieen!$D:$E,2,0),"")</f>
        <v/>
      </c>
      <c r="Q129" s="0" t="str">
        <f aca="false">IFERROR(VLOOKUP(G129,categorieen!$D:$E,2,0),"")</f>
        <v/>
      </c>
      <c r="R129" s="0" t="str">
        <f aca="false">IFERROR(VLOOKUP(H129,categorieen!$D:$E,2,0),"")</f>
        <v/>
      </c>
      <c r="S129" s="0" t="str">
        <f aca="false">IFERROR(VLOOKUP(I129,categorieen!$D:$E,2,0),"")</f>
        <v/>
      </c>
      <c r="T129" s="0" t="str">
        <f aca="false">IFERROR(VLOOKUP(J129,categorieen!$D:$E,2,0),"")</f>
        <v/>
      </c>
    </row>
    <row r="130" customFormat="false" ht="15" hidden="false" customHeight="false" outlineLevel="0" collapsed="false">
      <c r="A130" s="0" t="s">
        <v>164</v>
      </c>
      <c r="C130" s="0" t="n">
        <v>40</v>
      </c>
      <c r="D130" s="0" t="n">
        <v>10</v>
      </c>
      <c r="E130" s="0" t="n">
        <v>27</v>
      </c>
      <c r="F130" s="0" t="n">
        <v>43</v>
      </c>
      <c r="M130" s="0" t="str">
        <f aca="false">IFERROR(VLOOKUP(C130,categorieen!$D:$E,2,0),"")</f>
        <v>Typisch Brabants (TB)</v>
      </c>
      <c r="N130" s="0" t="str">
        <f aca="false">IFERROR(VLOOKUP(D130,categorieen!$D:$E,2,0),"")</f>
        <v>Begint met een W</v>
      </c>
      <c r="O130" s="0" t="str">
        <f aca="false">IFERROR(VLOOKUP(E130,categorieen!$D:$E,2,0),"")</f>
        <v>Eten en Drinken (ED)</v>
      </c>
      <c r="P130" s="0" t="str">
        <f aca="false">IFERROR(VLOOKUP(F130,categorieen!$D:$E,2,0),"")</f>
        <v>Dierlijk</v>
      </c>
      <c r="Q130" s="0" t="str">
        <f aca="false">IFERROR(VLOOKUP(G130,categorieen!$D:$E,2,0),"")</f>
        <v/>
      </c>
      <c r="R130" s="0" t="str">
        <f aca="false">IFERROR(VLOOKUP(H130,categorieen!$D:$E,2,0),"")</f>
        <v/>
      </c>
      <c r="S130" s="0" t="str">
        <f aca="false">IFERROR(VLOOKUP(I130,categorieen!$D:$E,2,0),"")</f>
        <v/>
      </c>
      <c r="T130" s="0" t="str">
        <f aca="false">IFERROR(VLOOKUP(J130,categorieen!$D:$E,2,0),"")</f>
        <v/>
      </c>
    </row>
    <row r="131" customFormat="false" ht="15" hidden="false" customHeight="false" outlineLevel="0" collapsed="false">
      <c r="A131" s="0" t="s">
        <v>165</v>
      </c>
      <c r="B131" s="0" t="s">
        <v>166</v>
      </c>
      <c r="C131" s="0" t="n">
        <v>10</v>
      </c>
      <c r="D131" s="0" t="n">
        <v>21</v>
      </c>
      <c r="E131" s="0" t="n">
        <v>1</v>
      </c>
      <c r="M131" s="0" t="str">
        <f aca="false">IFERROR(VLOOKUP(C131,categorieen!$D:$E,2,0),"")</f>
        <v>Begint met een W</v>
      </c>
      <c r="N131" s="0" t="str">
        <f aca="false">IFERROR(VLOOKUP(D131,categorieen!$D:$E,2,0),"")</f>
        <v>West Brabant</v>
      </c>
      <c r="O131" s="0" t="str">
        <f aca="false">IFERROR(VLOOKUP(E131,categorieen!$D:$E,2,0),"")</f>
        <v>Eerste- en Eindletter hetzelfde</v>
      </c>
      <c r="P131" s="0" t="str">
        <f aca="false">IFERROR(VLOOKUP(F131,categorieen!$D:$E,2,0),"")</f>
        <v/>
      </c>
      <c r="Q131" s="0" t="str">
        <f aca="false">IFERROR(VLOOKUP(G131,categorieen!$D:$E,2,0),"")</f>
        <v/>
      </c>
      <c r="R131" s="0" t="str">
        <f aca="false">IFERROR(VLOOKUP(H131,categorieen!$D:$E,2,0),"")</f>
        <v/>
      </c>
      <c r="S131" s="0" t="str">
        <f aca="false">IFERROR(VLOOKUP(I131,categorieen!$D:$E,2,0),"")</f>
        <v/>
      </c>
      <c r="T131" s="0" t="str">
        <f aca="false">IFERROR(VLOOKUP(J131,categorieen!$D:$E,2,0),"")</f>
        <v/>
      </c>
    </row>
    <row r="132" customFormat="false" ht="15" hidden="false" customHeight="false" outlineLevel="0" collapsed="false">
      <c r="A132" s="0" t="s">
        <v>167</v>
      </c>
      <c r="C132" s="0" t="n">
        <v>37</v>
      </c>
      <c r="D132" s="0" t="n">
        <v>27</v>
      </c>
      <c r="M132" s="0" t="str">
        <f aca="false">IFERROR(VLOOKUP(C132,categorieen!$D:$E,2,0),"")</f>
        <v>s Hertogenbosch (DB)</v>
      </c>
      <c r="N132" s="0" t="str">
        <f aca="false">IFERROR(VLOOKUP(D132,categorieen!$D:$E,2,0),"")</f>
        <v>Eten en Drinken (ED)</v>
      </c>
      <c r="O132" s="0" t="str">
        <f aca="false">IFERROR(VLOOKUP(E132,categorieen!$D:$E,2,0),"")</f>
        <v/>
      </c>
      <c r="P132" s="0" t="str">
        <f aca="false">IFERROR(VLOOKUP(F132,categorieen!$D:$E,2,0),"")</f>
        <v/>
      </c>
      <c r="Q132" s="0" t="str">
        <f aca="false">IFERROR(VLOOKUP(G132,categorieen!$D:$E,2,0),"")</f>
        <v/>
      </c>
      <c r="R132" s="0" t="str">
        <f aca="false">IFERROR(VLOOKUP(H132,categorieen!$D:$E,2,0),"")</f>
        <v/>
      </c>
      <c r="S132" s="0" t="str">
        <f aca="false">IFERROR(VLOOKUP(I132,categorieen!$D:$E,2,0),"")</f>
        <v/>
      </c>
      <c r="T132" s="0" t="str">
        <f aca="false">IFERROR(VLOOKUP(J132,categorieen!$D:$E,2,0),"")</f>
        <v/>
      </c>
    </row>
    <row r="133" customFormat="false" ht="15" hidden="false" customHeight="false" outlineLevel="0" collapsed="false">
      <c r="A133" s="5" t="s">
        <v>168</v>
      </c>
      <c r="C133" s="1" t="n">
        <v>2</v>
      </c>
      <c r="D133" s="1" t="n">
        <v>13</v>
      </c>
      <c r="M133" s="0" t="str">
        <f aca="false">IFERROR(VLOOKUP(C133,categorieen!$D:$E,2,0),"")</f>
        <v>(stand)beeld / (Rijks)monument</v>
      </c>
      <c r="N133" s="0" t="str">
        <f aca="false">IFERROR(VLOOKUP(D133,categorieen!$D:$E,2,0),"")</f>
        <v>Met dubbel T</v>
      </c>
      <c r="O133" s="0" t="str">
        <f aca="false">IFERROR(VLOOKUP(E133,categorieen!$D:$E,2,0),"")</f>
        <v/>
      </c>
      <c r="P133" s="0" t="str">
        <f aca="false">IFERROR(VLOOKUP(F133,categorieen!$D:$E,2,0),"")</f>
        <v/>
      </c>
      <c r="Q133" s="0" t="str">
        <f aca="false">IFERROR(VLOOKUP(G133,categorieen!$D:$E,2,0),"")</f>
        <v/>
      </c>
      <c r="R133" s="0" t="str">
        <f aca="false">IFERROR(VLOOKUP(H133,categorieen!$D:$E,2,0),"")</f>
        <v/>
      </c>
      <c r="S133" s="0" t="str">
        <f aca="false">IFERROR(VLOOKUP(I133,categorieen!$D:$E,2,0),"")</f>
        <v/>
      </c>
      <c r="T133" s="0" t="str">
        <f aca="false">IFERROR(VLOOKUP(J133,categorieen!$D:$E,2,0),"")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"/>
  <sheetViews>
    <sheetView showFormulas="false" showGridLines="true" showRowColHeaders="true" showZeros="true" rightToLeft="false" tabSelected="false" showOutlineSymbols="true" defaultGridColor="true" view="normal" topLeftCell="C22" colorId="64" zoomScale="70" zoomScaleNormal="70" zoomScalePageLayoutView="100" workbookViewId="0">
      <selection pane="topLeft" activeCell="E47" activeCellId="0" sqref="E47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" right="0" top="0" bottom="0" header="0.511805555555555" footer="0.511805555555555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E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21" activeCellId="0" sqref="I21"/>
    </sheetView>
  </sheetViews>
  <sheetFormatPr defaultRowHeight="15" zeroHeight="false" outlineLevelRow="0" outlineLevelCol="0"/>
  <cols>
    <col collapsed="false" customWidth="true" hidden="false" outlineLevel="0" max="1" min="1" style="0" width="11.85"/>
    <col collapsed="false" customWidth="true" hidden="false" outlineLevel="0" max="2" min="2" style="0" width="34.14"/>
    <col collapsed="false" customWidth="true" hidden="false" outlineLevel="0" max="4" min="3" style="0" width="8.53"/>
    <col collapsed="false" customWidth="true" hidden="false" outlineLevel="0" max="5" min="5" style="0" width="30.29"/>
    <col collapsed="false" customWidth="true" hidden="false" outlineLevel="0" max="8" min="6" style="0" width="8.53"/>
    <col collapsed="false" customWidth="true" hidden="false" outlineLevel="0" max="9" min="9" style="0" width="30.29"/>
    <col collapsed="false" customWidth="true" hidden="false" outlineLevel="0" max="1025" min="10" style="0" width="8.53"/>
  </cols>
  <sheetData>
    <row r="1" customFormat="false" ht="15" hidden="false" customHeight="false" outlineLevel="0" collapsed="false">
      <c r="A1" s="1" t="s">
        <v>169</v>
      </c>
      <c r="B1" s="1" t="s">
        <v>170</v>
      </c>
      <c r="C1" s="1" t="s">
        <v>171</v>
      </c>
      <c r="D1" s="1" t="s">
        <v>169</v>
      </c>
      <c r="E1" s="1" t="s">
        <v>170</v>
      </c>
    </row>
    <row r="2" customFormat="false" ht="15" hidden="false" customHeight="false" outlineLevel="0" collapsed="false">
      <c r="A2" s="0" t="n">
        <v>1</v>
      </c>
      <c r="B2" s="0" t="s">
        <v>172</v>
      </c>
      <c r="C2" s="0" t="n">
        <f aca="false">COUNTIF(Antwoorden!$C$2:$J$133, categorieen!A2)</f>
        <v>12</v>
      </c>
      <c r="D2" s="0" t="n">
        <v>2</v>
      </c>
      <c r="E2" s="0" t="s">
        <v>173</v>
      </c>
    </row>
    <row r="3" customFormat="false" ht="15" hidden="false" customHeight="false" outlineLevel="0" collapsed="false">
      <c r="A3" s="0" t="n">
        <v>2</v>
      </c>
      <c r="B3" s="0" t="s">
        <v>173</v>
      </c>
      <c r="C3" s="0" t="n">
        <f aca="false">COUNTIF(Antwoorden!$C$2:$J$133, categorieen!A3)</f>
        <v>15</v>
      </c>
      <c r="D3" s="0" t="n">
        <v>8</v>
      </c>
      <c r="E3" s="8" t="s">
        <v>174</v>
      </c>
    </row>
    <row r="4" customFormat="false" ht="15" hidden="false" customHeight="false" outlineLevel="0" collapsed="false">
      <c r="A4" s="0" t="n">
        <v>3</v>
      </c>
      <c r="B4" s="0" t="s">
        <v>175</v>
      </c>
      <c r="C4" s="0" t="n">
        <f aca="false">COUNTIF(Antwoorden!$C$2:$J$133, categorieen!A4)</f>
        <v>18</v>
      </c>
      <c r="D4" s="0" t="n">
        <v>33</v>
      </c>
      <c r="E4" s="8" t="s">
        <v>176</v>
      </c>
    </row>
    <row r="5" customFormat="false" ht="15" hidden="false" customHeight="false" outlineLevel="0" collapsed="false">
      <c r="A5" s="0" t="n">
        <v>4</v>
      </c>
      <c r="B5" s="0" t="s">
        <v>177</v>
      </c>
      <c r="C5" s="0" t="n">
        <f aca="false">COUNTIF(Antwoorden!$C$2:$J$133, categorieen!A5)</f>
        <v>15</v>
      </c>
      <c r="D5" s="0" t="n">
        <v>25</v>
      </c>
      <c r="E5" s="0" t="s">
        <v>178</v>
      </c>
    </row>
    <row r="6" customFormat="false" ht="15" hidden="false" customHeight="false" outlineLevel="0" collapsed="false">
      <c r="A6" s="0" t="n">
        <v>5</v>
      </c>
      <c r="B6" s="0" t="s">
        <v>179</v>
      </c>
      <c r="C6" s="0" t="n">
        <f aca="false">COUNTIF(Antwoorden!$C$2:$J$133, categorieen!A6)</f>
        <v>16</v>
      </c>
      <c r="D6" s="0" t="n">
        <v>24</v>
      </c>
      <c r="E6" s="0" t="s">
        <v>180</v>
      </c>
    </row>
    <row r="7" customFormat="false" ht="15" hidden="false" customHeight="false" outlineLevel="0" collapsed="false">
      <c r="A7" s="0" t="n">
        <v>6</v>
      </c>
      <c r="B7" s="0" t="s">
        <v>181</v>
      </c>
      <c r="C7" s="0" t="n">
        <f aca="false">COUNTIF(Antwoorden!$C$2:$J$133, categorieen!A7)</f>
        <v>8</v>
      </c>
      <c r="D7" s="0" t="n">
        <v>22</v>
      </c>
      <c r="E7" s="0" t="s">
        <v>182</v>
      </c>
    </row>
    <row r="8" customFormat="false" ht="15" hidden="false" customHeight="false" outlineLevel="0" collapsed="false">
      <c r="A8" s="0" t="n">
        <v>7</v>
      </c>
      <c r="B8" s="0" t="s">
        <v>183</v>
      </c>
      <c r="C8" s="0" t="n">
        <f aca="false">COUNTIF(Antwoorden!$C$2:$J$133, categorieen!A8)</f>
        <v>12</v>
      </c>
      <c r="D8" s="0" t="n">
        <v>42</v>
      </c>
      <c r="E8" s="0" t="s">
        <v>184</v>
      </c>
    </row>
    <row r="9" customFormat="false" ht="15" hidden="false" customHeight="false" outlineLevel="0" collapsed="false">
      <c r="A9" s="0" t="n">
        <v>8</v>
      </c>
      <c r="B9" s="8" t="s">
        <v>185</v>
      </c>
      <c r="C9" s="0" t="n">
        <f aca="false">COUNTIF(Antwoorden!$C$2:$J$133, categorieen!A9)</f>
        <v>16</v>
      </c>
      <c r="D9" s="0" t="n">
        <v>7</v>
      </c>
      <c r="E9" s="0" t="s">
        <v>183</v>
      </c>
    </row>
    <row r="10" customFormat="false" ht="15" hidden="false" customHeight="false" outlineLevel="0" collapsed="false">
      <c r="A10" s="0" t="n">
        <v>9</v>
      </c>
      <c r="B10" s="0" t="s">
        <v>186</v>
      </c>
      <c r="C10" s="0" t="n">
        <f aca="false">COUNTIF(Antwoorden!$C$2:$J$133, categorieen!A10)</f>
        <v>9</v>
      </c>
      <c r="D10" s="0" t="n">
        <v>3</v>
      </c>
      <c r="E10" s="0" t="s">
        <v>175</v>
      </c>
    </row>
    <row r="11" customFormat="false" ht="15" hidden="false" customHeight="false" outlineLevel="0" collapsed="false">
      <c r="A11" s="0" t="n">
        <v>10</v>
      </c>
      <c r="B11" s="0" t="s">
        <v>187</v>
      </c>
      <c r="C11" s="0" t="n">
        <f aca="false">COUNTIF(Antwoorden!$C$2:$J$133, categorieen!A11)</f>
        <v>7</v>
      </c>
      <c r="D11" s="0" t="n">
        <v>10</v>
      </c>
      <c r="E11" s="0" t="s">
        <v>187</v>
      </c>
    </row>
    <row r="12" customFormat="false" ht="15" hidden="false" customHeight="false" outlineLevel="0" collapsed="false">
      <c r="A12" s="0" t="n">
        <v>11</v>
      </c>
      <c r="B12" s="0" t="s">
        <v>188</v>
      </c>
      <c r="C12" s="0" t="n">
        <f aca="false">COUNTIF(Antwoorden!$C$2:$J$133, categorieen!A12)</f>
        <v>14</v>
      </c>
      <c r="D12" s="0" t="n">
        <v>23</v>
      </c>
      <c r="E12" s="0" t="s">
        <v>189</v>
      </c>
    </row>
    <row r="13" customFormat="false" ht="15" hidden="false" customHeight="false" outlineLevel="0" collapsed="false">
      <c r="A13" s="0" t="n">
        <v>12</v>
      </c>
      <c r="B13" s="0" t="s">
        <v>190</v>
      </c>
      <c r="C13" s="0" t="n">
        <f aca="false">COUNTIF(Antwoorden!$C$2:$J$133, categorieen!A13)</f>
        <v>10</v>
      </c>
      <c r="D13" s="0" t="n">
        <v>5</v>
      </c>
      <c r="E13" s="0" t="s">
        <v>179</v>
      </c>
    </row>
    <row r="14" customFormat="false" ht="15" hidden="false" customHeight="false" outlineLevel="0" collapsed="false">
      <c r="A14" s="0" t="n">
        <v>13</v>
      </c>
      <c r="B14" s="0" t="s">
        <v>191</v>
      </c>
      <c r="C14" s="0" t="n">
        <f aca="false">COUNTIF(Antwoorden!$C$2:$J$133, categorieen!A14)</f>
        <v>7</v>
      </c>
      <c r="D14" s="0" t="n">
        <v>16</v>
      </c>
      <c r="E14" s="0" t="s">
        <v>192</v>
      </c>
    </row>
    <row r="15" customFormat="false" ht="15" hidden="false" customHeight="false" outlineLevel="0" collapsed="false">
      <c r="A15" s="0" t="n">
        <v>14</v>
      </c>
      <c r="B15" s="0" t="s">
        <v>44</v>
      </c>
      <c r="C15" s="0" t="n">
        <f aca="false">COUNTIF(Antwoorden!$C$2:$J$133, categorieen!A15)</f>
        <v>9</v>
      </c>
      <c r="D15" s="0" t="n">
        <v>43</v>
      </c>
      <c r="E15" s="0" t="s">
        <v>193</v>
      </c>
    </row>
    <row r="16" customFormat="false" ht="15" hidden="false" customHeight="false" outlineLevel="0" collapsed="false">
      <c r="A16" s="0" t="n">
        <v>15</v>
      </c>
      <c r="B16" s="0" t="s">
        <v>194</v>
      </c>
      <c r="C16" s="0" t="n">
        <f aca="false">COUNTIF(Antwoorden!$C$2:$J$133, categorieen!A16)</f>
        <v>9</v>
      </c>
      <c r="D16" s="0" t="n">
        <v>1</v>
      </c>
      <c r="E16" s="0" t="s">
        <v>172</v>
      </c>
    </row>
    <row r="17" customFormat="false" ht="15" hidden="false" customHeight="false" outlineLevel="0" collapsed="false">
      <c r="A17" s="0" t="n">
        <v>16</v>
      </c>
      <c r="B17" s="0" t="s">
        <v>192</v>
      </c>
      <c r="C17" s="0" t="n">
        <f aca="false">COUNTIF(Antwoorden!$C$2:$J$133, categorieen!A17)</f>
        <v>11</v>
      </c>
      <c r="D17" s="0" t="n">
        <v>26</v>
      </c>
      <c r="E17" s="0" t="s">
        <v>195</v>
      </c>
    </row>
    <row r="18" customFormat="false" ht="15" hidden="false" customHeight="false" outlineLevel="0" collapsed="false">
      <c r="A18" s="0" t="n">
        <v>17</v>
      </c>
      <c r="B18" s="0" t="s">
        <v>196</v>
      </c>
      <c r="C18" s="0" t="n">
        <f aca="false">COUNTIF(Antwoorden!$C$2:$J$133, categorieen!A18)</f>
        <v>10</v>
      </c>
      <c r="D18" s="0" t="n">
        <v>27</v>
      </c>
      <c r="E18" s="0" t="s">
        <v>197</v>
      </c>
    </row>
    <row r="19" customFormat="false" ht="15" hidden="false" customHeight="false" outlineLevel="0" collapsed="false">
      <c r="A19" s="0" t="n">
        <v>18</v>
      </c>
      <c r="B19" s="0" t="s">
        <v>198</v>
      </c>
      <c r="C19" s="0" t="n">
        <f aca="false">COUNTIF(Antwoorden!$C$2:$J$133, categorieen!A19)</f>
        <v>8</v>
      </c>
      <c r="D19" s="0" t="n">
        <v>20</v>
      </c>
      <c r="E19" s="0" t="s">
        <v>199</v>
      </c>
    </row>
    <row r="20" customFormat="false" ht="15" hidden="false" customHeight="false" outlineLevel="0" collapsed="false">
      <c r="A20" s="0" t="n">
        <v>19</v>
      </c>
      <c r="B20" s="0" t="s">
        <v>200</v>
      </c>
      <c r="C20" s="0" t="n">
        <f aca="false">COUNTIF(Antwoorden!$C$2:$J$133, categorieen!A20)</f>
        <v>16</v>
      </c>
      <c r="D20" s="0" t="n">
        <v>15</v>
      </c>
      <c r="E20" s="0" t="s">
        <v>194</v>
      </c>
    </row>
    <row r="21" customFormat="false" ht="15" hidden="false" customHeight="false" outlineLevel="0" collapsed="false">
      <c r="A21" s="0" t="n">
        <v>20</v>
      </c>
      <c r="B21" s="0" t="s">
        <v>199</v>
      </c>
      <c r="C21" s="0" t="n">
        <f aca="false">COUNTIF(Antwoorden!$C$2:$J$133, categorieen!A21)</f>
        <v>7</v>
      </c>
      <c r="D21" s="0" t="n">
        <v>28</v>
      </c>
      <c r="E21" s="8" t="s">
        <v>201</v>
      </c>
    </row>
    <row r="22" customFormat="false" ht="15" hidden="false" customHeight="false" outlineLevel="0" collapsed="false">
      <c r="A22" s="0" t="n">
        <v>21</v>
      </c>
      <c r="B22" s="0" t="s">
        <v>202</v>
      </c>
      <c r="C22" s="0" t="n">
        <f aca="false">COUNTIF(Antwoorden!$C$2:$J$133, categorieen!A22)</f>
        <v>18</v>
      </c>
      <c r="D22" s="0" t="n">
        <v>29</v>
      </c>
      <c r="E22" s="0" t="s">
        <v>203</v>
      </c>
    </row>
    <row r="23" customFormat="false" ht="15" hidden="false" customHeight="false" outlineLevel="0" collapsed="false">
      <c r="A23" s="0" t="n">
        <v>22</v>
      </c>
      <c r="B23" s="0" t="s">
        <v>182</v>
      </c>
      <c r="C23" s="0" t="n">
        <f aca="false">COUNTIF(Antwoorden!$C$2:$J$133, categorieen!A23)</f>
        <v>40</v>
      </c>
      <c r="D23" s="0" t="n">
        <v>30</v>
      </c>
      <c r="E23" s="0" t="s">
        <v>204</v>
      </c>
    </row>
    <row r="24" customFormat="false" ht="15" hidden="false" customHeight="false" outlineLevel="0" collapsed="false">
      <c r="A24" s="0" t="n">
        <v>23</v>
      </c>
      <c r="B24" s="0" t="s">
        <v>189</v>
      </c>
      <c r="C24" s="0" t="n">
        <f aca="false">COUNTIF(Antwoorden!$C$2:$J$133, categorieen!A24)</f>
        <v>7</v>
      </c>
      <c r="D24" s="0" t="n">
        <v>14</v>
      </c>
      <c r="E24" s="0" t="s">
        <v>44</v>
      </c>
    </row>
    <row r="25" customFormat="false" ht="15" hidden="false" customHeight="false" outlineLevel="0" collapsed="false">
      <c r="A25" s="0" t="n">
        <v>24</v>
      </c>
      <c r="B25" s="0" t="s">
        <v>180</v>
      </c>
      <c r="C25" s="0" t="n">
        <f aca="false">COUNTIF(Antwoorden!$C$2:$J$133, categorieen!A25)</f>
        <v>9</v>
      </c>
      <c r="D25" s="0" t="n">
        <v>9</v>
      </c>
      <c r="E25" s="0" t="s">
        <v>186</v>
      </c>
    </row>
    <row r="26" customFormat="false" ht="15" hidden="false" customHeight="false" outlineLevel="0" collapsed="false">
      <c r="A26" s="0" t="n">
        <v>25</v>
      </c>
      <c r="B26" s="0" t="s">
        <v>178</v>
      </c>
      <c r="C26" s="0" t="n">
        <f aca="false">COUNTIF(Antwoorden!$C$2:$J$133, categorieen!A26)</f>
        <v>6</v>
      </c>
      <c r="D26" s="0" t="n">
        <v>31</v>
      </c>
      <c r="E26" s="0" t="s">
        <v>205</v>
      </c>
    </row>
    <row r="27" customFormat="false" ht="15" hidden="false" customHeight="false" outlineLevel="0" collapsed="false">
      <c r="A27" s="0" t="n">
        <v>26</v>
      </c>
      <c r="B27" s="0" t="s">
        <v>195</v>
      </c>
      <c r="C27" s="0" t="n">
        <f aca="false">COUNTIF(Antwoorden!$C$2:$J$133, categorieen!A27)</f>
        <v>12</v>
      </c>
      <c r="D27" s="0" t="n">
        <v>34</v>
      </c>
      <c r="E27" s="0" t="s">
        <v>206</v>
      </c>
    </row>
    <row r="28" customFormat="false" ht="15" hidden="false" customHeight="false" outlineLevel="0" collapsed="false">
      <c r="A28" s="0" t="n">
        <v>27</v>
      </c>
      <c r="B28" s="0" t="s">
        <v>197</v>
      </c>
      <c r="C28" s="0" t="n">
        <f aca="false">COUNTIF(Antwoorden!$C$2:$J$133, categorieen!A28)</f>
        <v>18</v>
      </c>
      <c r="D28" s="0" t="n">
        <v>6</v>
      </c>
      <c r="E28" s="0" t="s">
        <v>181</v>
      </c>
    </row>
    <row r="29" customFormat="false" ht="15" hidden="false" customHeight="false" outlineLevel="0" collapsed="false">
      <c r="A29" s="0" t="n">
        <v>28</v>
      </c>
      <c r="B29" s="8" t="s">
        <v>201</v>
      </c>
      <c r="C29" s="0" t="n">
        <f aca="false">COUNTIF(Antwoorden!$C$2:$J$133, categorieen!A29)</f>
        <v>8</v>
      </c>
      <c r="D29" s="0" t="n">
        <v>17</v>
      </c>
      <c r="E29" s="0" t="s">
        <v>196</v>
      </c>
    </row>
    <row r="30" customFormat="false" ht="15" hidden="false" customHeight="false" outlineLevel="0" collapsed="false">
      <c r="A30" s="0" t="n">
        <v>29</v>
      </c>
      <c r="B30" s="0" t="s">
        <v>203</v>
      </c>
      <c r="C30" s="0" t="n">
        <f aca="false">COUNTIF(Antwoorden!$C$2:$J$133, categorieen!A30)</f>
        <v>8</v>
      </c>
      <c r="D30" s="0" t="n">
        <v>13</v>
      </c>
      <c r="E30" s="0" t="s">
        <v>191</v>
      </c>
    </row>
    <row r="31" customFormat="false" ht="15" hidden="false" customHeight="false" outlineLevel="0" collapsed="false">
      <c r="A31" s="0" t="n">
        <v>30</v>
      </c>
      <c r="B31" s="0" t="s">
        <v>204</v>
      </c>
      <c r="C31" s="0" t="n">
        <f aca="false">COUNTIF(Antwoorden!$C$2:$J$133, categorieen!A31)</f>
        <v>15</v>
      </c>
      <c r="D31" s="0" t="n">
        <v>32</v>
      </c>
      <c r="E31" s="0" t="s">
        <v>207</v>
      </c>
    </row>
    <row r="32" customFormat="false" ht="15" hidden="false" customHeight="false" outlineLevel="0" collapsed="false">
      <c r="A32" s="0" t="n">
        <v>31</v>
      </c>
      <c r="B32" s="0" t="s">
        <v>205</v>
      </c>
      <c r="C32" s="0" t="n">
        <f aca="false">COUNTIF(Antwoorden!$C$2:$J$133, categorieen!A32)</f>
        <v>13</v>
      </c>
      <c r="D32" s="0" t="n">
        <v>19</v>
      </c>
      <c r="E32" s="0" t="s">
        <v>200</v>
      </c>
    </row>
    <row r="33" customFormat="false" ht="15" hidden="false" customHeight="false" outlineLevel="0" collapsed="false">
      <c r="A33" s="0" t="n">
        <v>32</v>
      </c>
      <c r="B33" s="0" t="s">
        <v>207</v>
      </c>
      <c r="C33" s="0" t="n">
        <f aca="false">COUNTIF(Antwoorden!$C$2:$J$133, categorieen!A33)</f>
        <v>12</v>
      </c>
      <c r="D33" s="0" t="n">
        <v>35</v>
      </c>
      <c r="E33" s="0" t="s">
        <v>208</v>
      </c>
    </row>
    <row r="34" customFormat="false" ht="15" hidden="false" customHeight="false" outlineLevel="0" collapsed="false">
      <c r="A34" s="0" t="n">
        <v>33</v>
      </c>
      <c r="B34" s="8" t="s">
        <v>176</v>
      </c>
      <c r="C34" s="0" t="n">
        <f aca="false">COUNTIF(Antwoorden!$C$2:$J$133, categorieen!A34)</f>
        <v>10</v>
      </c>
      <c r="D34" s="0" t="n">
        <v>36</v>
      </c>
      <c r="E34" s="0" t="s">
        <v>209</v>
      </c>
    </row>
    <row r="35" customFormat="false" ht="15" hidden="false" customHeight="false" outlineLevel="0" collapsed="false">
      <c r="A35" s="0" t="n">
        <v>34</v>
      </c>
      <c r="B35" s="0" t="s">
        <v>206</v>
      </c>
      <c r="C35" s="0" t="n">
        <f aca="false">COUNTIF(Antwoorden!$C$2:$J$133, categorieen!A35)</f>
        <v>13</v>
      </c>
      <c r="D35" s="0" t="n">
        <v>37</v>
      </c>
      <c r="E35" s="8" t="s">
        <v>210</v>
      </c>
    </row>
    <row r="36" customFormat="false" ht="15" hidden="false" customHeight="false" outlineLevel="0" collapsed="false">
      <c r="A36" s="0" t="n">
        <v>35</v>
      </c>
      <c r="B36" s="0" t="s">
        <v>208</v>
      </c>
      <c r="C36" s="0" t="n">
        <f aca="false">COUNTIF(Antwoorden!$C$2:$J$133, categorieen!A36)</f>
        <v>7</v>
      </c>
      <c r="D36" s="0" t="n">
        <v>38</v>
      </c>
      <c r="E36" s="0" t="s">
        <v>211</v>
      </c>
    </row>
    <row r="37" customFormat="false" ht="15" hidden="false" customHeight="false" outlineLevel="0" collapsed="false">
      <c r="A37" s="0" t="n">
        <v>36</v>
      </c>
      <c r="B37" s="0" t="s">
        <v>209</v>
      </c>
      <c r="C37" s="0" t="n">
        <f aca="false">COUNTIF(Antwoorden!$C$2:$J$133, categorieen!A37)</f>
        <v>6</v>
      </c>
      <c r="D37" s="0" t="n">
        <v>39</v>
      </c>
      <c r="E37" s="0" t="s">
        <v>212</v>
      </c>
    </row>
    <row r="38" customFormat="false" ht="15" hidden="false" customHeight="false" outlineLevel="0" collapsed="false">
      <c r="A38" s="0" t="n">
        <v>37</v>
      </c>
      <c r="B38" s="8" t="s">
        <v>210</v>
      </c>
      <c r="C38" s="0" t="n">
        <f aca="false">COUNTIF(Antwoorden!$C$2:$J$133, categorieen!A38)</f>
        <v>11</v>
      </c>
      <c r="D38" s="0" t="n">
        <v>11</v>
      </c>
      <c r="E38" s="0" t="s">
        <v>188</v>
      </c>
    </row>
    <row r="39" customFormat="false" ht="15" hidden="false" customHeight="false" outlineLevel="0" collapsed="false">
      <c r="A39" s="0" t="n">
        <v>38</v>
      </c>
      <c r="B39" s="0" t="s">
        <v>211</v>
      </c>
      <c r="C39" s="0" t="n">
        <f aca="false">COUNTIF(Antwoorden!$C$2:$J$133, categorieen!A39)</f>
        <v>15</v>
      </c>
      <c r="D39" s="0" t="n">
        <v>40</v>
      </c>
      <c r="E39" s="0" t="s">
        <v>213</v>
      </c>
    </row>
    <row r="40" customFormat="false" ht="15" hidden="false" customHeight="false" outlineLevel="0" collapsed="false">
      <c r="A40" s="0" t="n">
        <v>39</v>
      </c>
      <c r="B40" s="0" t="s">
        <v>212</v>
      </c>
      <c r="C40" s="0" t="n">
        <f aca="false">COUNTIF(Antwoorden!$C$2:$J$133, categorieen!A40)</f>
        <v>6</v>
      </c>
      <c r="D40" s="0" t="n">
        <v>41</v>
      </c>
      <c r="E40" s="0" t="s">
        <v>214</v>
      </c>
    </row>
    <row r="41" customFormat="false" ht="15" hidden="false" customHeight="false" outlineLevel="0" collapsed="false">
      <c r="A41" s="0" t="n">
        <v>40</v>
      </c>
      <c r="B41" s="0" t="s">
        <v>213</v>
      </c>
      <c r="C41" s="0" t="n">
        <f aca="false">COUNTIF(Antwoorden!$C$2:$J$133, categorieen!A41)</f>
        <v>9</v>
      </c>
      <c r="D41" s="0" t="n">
        <v>12</v>
      </c>
      <c r="E41" s="0" t="s">
        <v>190</v>
      </c>
    </row>
    <row r="42" customFormat="false" ht="15" hidden="false" customHeight="false" outlineLevel="0" collapsed="false">
      <c r="A42" s="0" t="n">
        <v>41</v>
      </c>
      <c r="B42" s="0" t="s">
        <v>214</v>
      </c>
      <c r="C42" s="0" t="n">
        <f aca="false">COUNTIF(Antwoorden!$C$2:$J$133, categorieen!A42)</f>
        <v>7</v>
      </c>
      <c r="D42" s="0" t="n">
        <v>21</v>
      </c>
      <c r="E42" s="0" t="s">
        <v>202</v>
      </c>
    </row>
    <row r="43" customFormat="false" ht="15" hidden="false" customHeight="false" outlineLevel="0" collapsed="false">
      <c r="A43" s="0" t="n">
        <v>42</v>
      </c>
      <c r="B43" s="0" t="s">
        <v>184</v>
      </c>
      <c r="C43" s="0" t="n">
        <f aca="false">COUNTIF(Antwoorden!$C$2:$J$133, categorieen!A43)</f>
        <v>19</v>
      </c>
      <c r="D43" s="0" t="n">
        <v>18</v>
      </c>
      <c r="E43" s="0" t="s">
        <v>198</v>
      </c>
    </row>
    <row r="44" customFormat="false" ht="15" hidden="false" customHeight="false" outlineLevel="0" collapsed="false">
      <c r="A44" s="0" t="n">
        <v>43</v>
      </c>
      <c r="B44" s="0" t="s">
        <v>193</v>
      </c>
      <c r="C44" s="0" t="n">
        <f aca="false">COUNTIF(Antwoorden!$C$2:$J$133, categorieen!A44)</f>
        <v>11</v>
      </c>
      <c r="D44" s="0" t="n">
        <v>4</v>
      </c>
      <c r="E44" s="0" t="s">
        <v>177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T133"/>
  <sheetViews>
    <sheetView showFormulas="false" showGridLines="true" showRowColHeaders="true" showZeros="true" rightToLeft="false" tabSelected="true" showOutlineSymbols="true" defaultGridColor="true" view="normal" topLeftCell="A115" colorId="64" zoomScale="85" zoomScaleNormal="85" zoomScalePageLayoutView="100" workbookViewId="0">
      <selection pane="topLeft" activeCell="J125" activeCellId="0" sqref="J125"/>
    </sheetView>
  </sheetViews>
  <sheetFormatPr defaultRowHeight="15" zeroHeight="false" outlineLevelRow="0" outlineLevelCol="0"/>
  <cols>
    <col collapsed="false" customWidth="true" hidden="false" outlineLevel="0" max="1" min="1" style="0" width="29.86"/>
    <col collapsed="false" customWidth="true" hidden="false" outlineLevel="0" max="2" min="2" style="0" width="34.86"/>
    <col collapsed="false" customWidth="true" hidden="false" outlineLevel="0" max="6" min="3" style="0" width="5.28"/>
    <col collapsed="false" customWidth="true" hidden="false" outlineLevel="0" max="9" min="7" style="0" width="4.85"/>
    <col collapsed="false" customWidth="true" hidden="false" outlineLevel="0" max="10" min="10" style="0" width="5.28"/>
    <col collapsed="false" customWidth="true" hidden="false" outlineLevel="0" max="11" min="11" style="0" width="4.57"/>
    <col collapsed="false" customWidth="true" hidden="false" outlineLevel="0" max="12" min="12" style="0" width="9.14"/>
    <col collapsed="false" customWidth="true" hidden="false" outlineLevel="0" max="17" min="13" style="0" width="31.43"/>
    <col collapsed="false" customWidth="true" hidden="false" outlineLevel="0" max="18" min="18" style="0" width="21"/>
    <col collapsed="false" customWidth="true" hidden="false" outlineLevel="0" max="1025" min="19" style="0" width="8.53"/>
  </cols>
  <sheetData>
    <row r="1" customFormat="false" ht="15" hidden="false" customHeight="false" outlineLevel="0" collapsed="false">
      <c r="A1" s="10" t="s">
        <v>0</v>
      </c>
      <c r="B1" s="10"/>
      <c r="C1" s="10" t="s">
        <v>1</v>
      </c>
      <c r="D1" s="10" t="s">
        <v>2</v>
      </c>
      <c r="E1" s="10" t="s">
        <v>3</v>
      </c>
      <c r="F1" s="10" t="s">
        <v>4</v>
      </c>
      <c r="G1" s="10" t="s">
        <v>5</v>
      </c>
      <c r="H1" s="10" t="s">
        <v>6</v>
      </c>
      <c r="I1" s="10" t="s">
        <v>7</v>
      </c>
      <c r="J1" s="10" t="s">
        <v>8</v>
      </c>
      <c r="K1" s="9"/>
      <c r="L1" s="9"/>
      <c r="M1" s="10" t="s">
        <v>215</v>
      </c>
      <c r="N1" s="10" t="s">
        <v>216</v>
      </c>
      <c r="O1" s="10" t="s">
        <v>217</v>
      </c>
      <c r="P1" s="10" t="s">
        <v>218</v>
      </c>
      <c r="Q1" s="10" t="s">
        <v>219</v>
      </c>
      <c r="R1" s="10" t="s">
        <v>220</v>
      </c>
      <c r="S1" s="10" t="s">
        <v>221</v>
      </c>
      <c r="T1" s="10" t="s">
        <v>222</v>
      </c>
    </row>
    <row r="2" customFormat="false" ht="15" hidden="false" customHeight="false" outlineLevel="0" collapsed="false">
      <c r="A2" s="9" t="s">
        <v>9</v>
      </c>
      <c r="B2" s="11" t="s">
        <v>10</v>
      </c>
      <c r="C2" s="9" t="n">
        <v>39</v>
      </c>
      <c r="D2" s="9" t="n">
        <v>37</v>
      </c>
      <c r="E2" s="9" t="n">
        <v>36</v>
      </c>
      <c r="F2" s="9"/>
      <c r="G2" s="9"/>
      <c r="H2" s="9"/>
      <c r="I2" s="9"/>
      <c r="J2" s="9"/>
      <c r="K2" s="9"/>
      <c r="L2" s="9"/>
      <c r="M2" s="9" t="str">
        <f aca="false">IFERROR(VLOOKUP(C2,categorieen!$D:$E,2,0),"")</f>
        <v>Theater</v>
      </c>
      <c r="N2" s="9" t="str">
        <f aca="false">IFERROR(VLOOKUP(D2,categorieen!$D:$E,2,0),"")</f>
        <v>s Hertogenbosch (DB)</v>
      </c>
      <c r="O2" s="9" t="str">
        <f aca="false">IFERROR(VLOOKUP(E2,categorieen!$D:$E,2,0),"")</f>
        <v>Plein</v>
      </c>
      <c r="P2" s="9" t="str">
        <f aca="false">IFERROR(VLOOKUP(F2,categorieen!$D:$E,2,0),"")</f>
        <v/>
      </c>
      <c r="Q2" s="9" t="str">
        <f aca="false">IFERROR(VLOOKUP(G2,categorieen!$D:$E,2,0),"")</f>
        <v/>
      </c>
      <c r="R2" s="9" t="str">
        <f aca="false">IFERROR(VLOOKUP(H2,categorieen!$D:$E,2,0),"")</f>
        <v/>
      </c>
      <c r="S2" s="9" t="str">
        <f aca="false">IFERROR(VLOOKUP(I2,categorieen!$D:$E,2,0),"")</f>
        <v/>
      </c>
      <c r="T2" s="9"/>
    </row>
    <row r="3" customFormat="false" ht="15" hidden="false" customHeight="false" outlineLevel="0" collapsed="false">
      <c r="A3" s="9" t="s">
        <v>11</v>
      </c>
      <c r="B3" s="11" t="s">
        <v>12</v>
      </c>
      <c r="C3" s="9" t="n">
        <v>26</v>
      </c>
      <c r="D3" s="9" t="n">
        <v>9</v>
      </c>
      <c r="E3" s="9" t="n">
        <v>14</v>
      </c>
      <c r="F3" s="9"/>
      <c r="G3" s="9"/>
      <c r="H3" s="9"/>
      <c r="I3" s="9"/>
      <c r="J3" s="9"/>
      <c r="K3" s="9"/>
      <c r="L3" s="9"/>
      <c r="M3" s="9" t="str">
        <f aca="false">IFERROR(VLOOKUP(C3,categorieen!$D:$E,2,0),"")</f>
        <v>Eindigt op el</v>
      </c>
      <c r="N3" s="9" t="str">
        <f aca="false">IFERROR(VLOOKUP(D3,categorieen!$D:$E,2,0),"")</f>
        <v>Kiosk</v>
      </c>
      <c r="O3" s="9" t="str">
        <f aca="false">IFERROR(VLOOKUP(E3,categorieen!$D:$E,2,0),"")</f>
        <v>Kasteel</v>
      </c>
      <c r="P3" s="9" t="str">
        <f aca="false">IFERROR(VLOOKUP(F3,categorieen!$D:$E,2,0),"")</f>
        <v/>
      </c>
      <c r="Q3" s="9" t="str">
        <f aca="false">IFERROR(VLOOKUP(G3,categorieen!$D:$E,2,0),"")</f>
        <v/>
      </c>
      <c r="R3" s="9" t="str">
        <f aca="false">IFERROR(VLOOKUP(H3,categorieen!$D:$E,2,0),"")</f>
        <v/>
      </c>
      <c r="S3" s="9" t="str">
        <f aca="false">IFERROR(VLOOKUP(I3,categorieen!$D:$E,2,0),"")</f>
        <v/>
      </c>
      <c r="T3" s="9" t="str">
        <f aca="false">IFERROR(VLOOKUP(J3,categorieen!$D:$E,2,0),"")</f>
        <v/>
      </c>
    </row>
    <row r="4" customFormat="false" ht="15" hidden="false" customHeight="false" outlineLevel="0" collapsed="false">
      <c r="A4" s="12" t="s">
        <v>13</v>
      </c>
      <c r="B4" s="11" t="s">
        <v>14</v>
      </c>
      <c r="C4" s="9" t="n">
        <v>15</v>
      </c>
      <c r="D4" s="9" t="n">
        <v>8</v>
      </c>
      <c r="E4" s="9" t="n">
        <v>36</v>
      </c>
      <c r="F4" s="9" t="n">
        <v>22</v>
      </c>
      <c r="G4" s="9"/>
      <c r="H4" s="9"/>
      <c r="I4" s="9"/>
      <c r="J4" s="9"/>
      <c r="K4" s="9"/>
      <c r="L4" s="9"/>
      <c r="M4" s="9" t="str">
        <f aca="false">IFERROR(VLOOKUP(C4,categorieen!$D:$E,2,0),"")</f>
        <v>Getal/Cijfer</v>
      </c>
      <c r="N4" s="9" t="str">
        <f aca="false">IFERROR(VLOOKUP(D4,categorieen!$D:$E,2,0),"")</f>
        <v>040 (Eindhoven)</v>
      </c>
      <c r="O4" s="9" t="str">
        <f aca="false">IFERROR(VLOOKUP(E4,categorieen!$D:$E,2,0),"")</f>
        <v>Plein</v>
      </c>
      <c r="P4" s="9" t="str">
        <f aca="false">IFERROR(VLOOKUP(F4,categorieen!$D:$E,2,0),"")</f>
        <v>3x dezelfde letter</v>
      </c>
      <c r="Q4" s="9" t="str">
        <f aca="false">IFERROR(VLOOKUP(G4,categorieen!$D:$E,2,0),"")</f>
        <v/>
      </c>
      <c r="R4" s="9" t="str">
        <f aca="false">IFERROR(VLOOKUP(H4,categorieen!$D:$E,2,0),"")</f>
        <v/>
      </c>
      <c r="S4" s="9" t="str">
        <f aca="false">IFERROR(VLOOKUP(I4,categorieen!$D:$E,2,0),"")</f>
        <v/>
      </c>
      <c r="T4" s="9" t="str">
        <f aca="false">IFERROR(VLOOKUP(J4,categorieen!$D:$E,2,0),"")</f>
        <v/>
      </c>
    </row>
    <row r="5" customFormat="false" ht="15" hidden="false" customHeight="false" outlineLevel="0" collapsed="false">
      <c r="A5" s="13" t="s">
        <v>223</v>
      </c>
      <c r="B5" s="11"/>
      <c r="C5" s="10" t="n">
        <v>5</v>
      </c>
      <c r="D5" s="10" t="n">
        <v>8</v>
      </c>
      <c r="E5" s="9"/>
      <c r="F5" s="9"/>
      <c r="G5" s="9"/>
      <c r="H5" s="9"/>
      <c r="I5" s="9"/>
      <c r="J5" s="9"/>
      <c r="K5" s="9"/>
      <c r="L5" s="9"/>
      <c r="M5" s="9" t="str">
        <f aca="false">IFERROR(VLOOKUP(C5,categorieen!$D:$E,2,0),"")</f>
        <v>Bekende Brabanders</v>
      </c>
      <c r="N5" s="9" t="str">
        <f aca="false">IFERROR(VLOOKUP(D5,categorieen!$D:$E,2,0),"")</f>
        <v>040 (Eindhoven)</v>
      </c>
      <c r="O5" s="9" t="str">
        <f aca="false">IFERROR(VLOOKUP(E5,categorieen!$D:$E,2,0),"")</f>
        <v/>
      </c>
      <c r="P5" s="9" t="str">
        <f aca="false">IFERROR(VLOOKUP(F5,categorieen!$D:$E,2,0),"")</f>
        <v/>
      </c>
      <c r="Q5" s="9" t="str">
        <f aca="false">IFERROR(VLOOKUP(G5,categorieen!$D:$E,2,0),"")</f>
        <v/>
      </c>
      <c r="R5" s="9" t="str">
        <f aca="false">IFERROR(VLOOKUP(H5,categorieen!$D:$E,2,0),"")</f>
        <v/>
      </c>
      <c r="S5" s="9" t="str">
        <f aca="false">IFERROR(VLOOKUP(I5,categorieen!$D:$E,2,0),"")</f>
        <v/>
      </c>
      <c r="T5" s="9" t="str">
        <f aca="false">IFERROR(VLOOKUP(J5,categorieen!$D:$E,2,0),"")</f>
        <v/>
      </c>
    </row>
    <row r="6" customFormat="false" ht="15" hidden="false" customHeight="false" outlineLevel="0" collapsed="false">
      <c r="A6" s="9" t="s">
        <v>16</v>
      </c>
      <c r="B6" s="11" t="s">
        <v>17</v>
      </c>
      <c r="C6" s="9" t="n">
        <v>16</v>
      </c>
      <c r="D6" s="9" t="n">
        <v>43</v>
      </c>
      <c r="E6" s="9"/>
      <c r="F6" s="9"/>
      <c r="G6" s="9"/>
      <c r="H6" s="9"/>
      <c r="I6" s="9"/>
      <c r="J6" s="9"/>
      <c r="K6" s="9"/>
      <c r="L6" s="9"/>
      <c r="M6" s="9" t="str">
        <f aca="false">IFERROR(VLOOKUP(C6,categorieen!$D:$E,2,0),"")</f>
        <v>Buurtschap</v>
      </c>
      <c r="N6" s="9" t="str">
        <f aca="false">IFERROR(VLOOKUP(D6,categorieen!$D:$E,2,0),"")</f>
        <v>Dierlijk</v>
      </c>
      <c r="O6" s="9" t="str">
        <f aca="false">IFERROR(VLOOKUP(E6,categorieen!$D:$E,2,0),"")</f>
        <v/>
      </c>
      <c r="P6" s="9" t="str">
        <f aca="false">IFERROR(VLOOKUP(F6,categorieen!$D:$E,2,0),"")</f>
        <v/>
      </c>
      <c r="Q6" s="9" t="str">
        <f aca="false">IFERROR(VLOOKUP(G6,categorieen!$D:$E,2,0),"")</f>
        <v/>
      </c>
      <c r="R6" s="9" t="str">
        <f aca="false">IFERROR(VLOOKUP(H6,categorieen!$D:$E,2,0),"")</f>
        <v/>
      </c>
      <c r="S6" s="9" t="str">
        <f aca="false">IFERROR(VLOOKUP(I6,categorieen!$D:$E,2,0),"")</f>
        <v/>
      </c>
      <c r="T6" s="9" t="str">
        <f aca="false">IFERROR(VLOOKUP(J6,categorieen!$D:$E,2,0),"")</f>
        <v/>
      </c>
    </row>
    <row r="7" customFormat="false" ht="15" hidden="false" customHeight="false" outlineLevel="0" collapsed="false">
      <c r="A7" s="9" t="s">
        <v>18</v>
      </c>
      <c r="B7" s="11" t="s">
        <v>19</v>
      </c>
      <c r="C7" s="9" t="n">
        <v>34</v>
      </c>
      <c r="D7" s="9" t="n">
        <v>2</v>
      </c>
      <c r="E7" s="9" t="n">
        <v>17</v>
      </c>
      <c r="F7" s="9" t="n">
        <v>14</v>
      </c>
      <c r="G7" s="9"/>
      <c r="H7" s="9"/>
      <c r="I7" s="9"/>
      <c r="J7" s="9"/>
      <c r="K7" s="9"/>
      <c r="L7" s="9"/>
      <c r="M7" s="9" t="str">
        <f aca="false">IFERROR(VLOOKUP(C7,categorieen!$D:$E,2,0),"")</f>
        <v>Met 4 Wieken</v>
      </c>
      <c r="N7" s="9" t="str">
        <f aca="false">IFERROR(VLOOKUP(D7,categorieen!$D:$E,2,0),"")</f>
        <v>(stand)beeld / (Rijks)monument</v>
      </c>
      <c r="O7" s="9" t="str">
        <f aca="false">IFERROR(VLOOKUP(E7,categorieen!$D:$E,2,0),"")</f>
        <v>Met dubbel s</v>
      </c>
      <c r="P7" s="9" t="str">
        <f aca="false">IFERROR(VLOOKUP(F7,categorieen!$D:$E,2,0),"")</f>
        <v>Kasteel</v>
      </c>
      <c r="Q7" s="9" t="str">
        <f aca="false">IFERROR(VLOOKUP(G7,categorieen!$D:$E,2,0),"")</f>
        <v/>
      </c>
      <c r="R7" s="9" t="str">
        <f aca="false">IFERROR(VLOOKUP(H7,categorieen!$D:$E,2,0),"")</f>
        <v/>
      </c>
      <c r="S7" s="9" t="str">
        <f aca="false">IFERROR(VLOOKUP(I7,categorieen!$D:$E,2,0),"")</f>
        <v/>
      </c>
      <c r="T7" s="9" t="str">
        <f aca="false">IFERROR(VLOOKUP(J7,categorieen!$D:$E,2,0),"")</f>
        <v/>
      </c>
    </row>
    <row r="8" customFormat="false" ht="15" hidden="false" customHeight="false" outlineLevel="0" collapsed="false">
      <c r="A8" s="9" t="s">
        <v>20</v>
      </c>
      <c r="B8" s="11" t="s">
        <v>21</v>
      </c>
      <c r="C8" s="9" t="n">
        <v>15</v>
      </c>
      <c r="D8" s="9" t="n">
        <v>37</v>
      </c>
      <c r="E8" s="9" t="n">
        <v>8</v>
      </c>
      <c r="F8" s="9" t="n">
        <v>41</v>
      </c>
      <c r="G8" s="9"/>
      <c r="H8" s="9"/>
      <c r="I8" s="9"/>
      <c r="J8" s="9"/>
      <c r="K8" s="9"/>
      <c r="L8" s="9"/>
      <c r="M8" s="9" t="str">
        <f aca="false">IFERROR(VLOOKUP(C8,categorieen!$D:$E,2,0),"")</f>
        <v>Getal/Cijfer</v>
      </c>
      <c r="N8" s="9" t="str">
        <f aca="false">IFERROR(VLOOKUP(D8,categorieen!$D:$E,2,0),"")</f>
        <v>s Hertogenbosch (DB)</v>
      </c>
      <c r="O8" s="9" t="str">
        <f aca="false">IFERROR(VLOOKUP(E8,categorieen!$D:$E,2,0),"")</f>
        <v>040 (Eindhoven)</v>
      </c>
      <c r="P8" s="9" t="str">
        <f aca="false">IFERROR(VLOOKUP(F8,categorieen!$D:$E,2,0),"")</f>
        <v>Vught</v>
      </c>
      <c r="Q8" s="9" t="str">
        <f aca="false">IFERROR(VLOOKUP(G8,categorieen!$D:$E,2,0),"")</f>
        <v/>
      </c>
      <c r="R8" s="9" t="str">
        <f aca="false">IFERROR(VLOOKUP(H8,categorieen!$D:$E,2,0),"")</f>
        <v/>
      </c>
      <c r="S8" s="9" t="str">
        <f aca="false">IFERROR(VLOOKUP(I8,categorieen!$D:$E,2,0),"")</f>
        <v/>
      </c>
      <c r="T8" s="9" t="str">
        <f aca="false">IFERROR(VLOOKUP(J8,categorieen!$D:$E,2,0),"")</f>
        <v/>
      </c>
    </row>
    <row r="9" customFormat="false" ht="15" hidden="false" customHeight="false" outlineLevel="0" collapsed="false">
      <c r="A9" s="9" t="s">
        <v>22</v>
      </c>
      <c r="B9" s="11" t="s">
        <v>23</v>
      </c>
      <c r="C9" s="9" t="n">
        <v>3</v>
      </c>
      <c r="D9" s="9" t="n">
        <v>40</v>
      </c>
      <c r="E9" s="9" t="n">
        <v>6</v>
      </c>
      <c r="F9" s="9" t="n">
        <v>43</v>
      </c>
      <c r="G9" s="9" t="n">
        <v>27</v>
      </c>
      <c r="H9" s="9"/>
      <c r="I9" s="9"/>
      <c r="J9" s="9"/>
      <c r="K9" s="9"/>
      <c r="L9" s="9"/>
      <c r="M9" s="9" t="str">
        <f aca="false">IFERROR(VLOOKUP(C9,categorieen!$D:$E,2,0),"")</f>
        <v>Begint met een B</v>
      </c>
      <c r="N9" s="9" t="str">
        <f aca="false">IFERROR(VLOOKUP(D9,categorieen!$D:$E,2,0),"")</f>
        <v>Typisch Brabants (TB)</v>
      </c>
      <c r="O9" s="9" t="str">
        <f aca="false">IFERROR(VLOOKUP(E9,categorieen!$D:$E,2,0),"")</f>
        <v>Met B en B</v>
      </c>
      <c r="P9" s="9" t="str">
        <f aca="false">IFERROR(VLOOKUP(F9,categorieen!$D:$E,2,0),"")</f>
        <v>Dierlijk</v>
      </c>
      <c r="Q9" s="9" t="str">
        <f aca="false">IFERROR(VLOOKUP(G9,categorieen!$D:$E,2,0),"")</f>
        <v>Eten en Drinken (ED)</v>
      </c>
      <c r="R9" s="9" t="str">
        <f aca="false">IFERROR(VLOOKUP(H9,categorieen!$D:$E,2,0),"")</f>
        <v/>
      </c>
      <c r="S9" s="9" t="str">
        <f aca="false">IFERROR(VLOOKUP(I9,categorieen!$D:$E,2,0),"")</f>
        <v/>
      </c>
      <c r="T9" s="9" t="str">
        <f aca="false">IFERROR(VLOOKUP(J9,categorieen!$D:$E,2,0),"")</f>
        <v/>
      </c>
    </row>
    <row r="10" customFormat="false" ht="15" hidden="false" customHeight="false" outlineLevel="0" collapsed="false">
      <c r="A10" s="9" t="s">
        <v>24</v>
      </c>
      <c r="B10" s="11" t="s">
        <v>25</v>
      </c>
      <c r="C10" s="9" t="n">
        <v>3</v>
      </c>
      <c r="D10" s="9" t="n">
        <v>24</v>
      </c>
      <c r="E10" s="9" t="n">
        <v>30</v>
      </c>
      <c r="F10" s="9"/>
      <c r="G10" s="9"/>
      <c r="H10" s="9"/>
      <c r="I10" s="9"/>
      <c r="J10" s="9"/>
      <c r="K10" s="9"/>
      <c r="L10" s="9"/>
      <c r="M10" s="9" t="str">
        <f aca="false">IFERROR(VLOOKUP(C10,categorieen!$D:$E,2,0),"")</f>
        <v>Begint met een B</v>
      </c>
      <c r="N10" s="9" t="str">
        <f aca="false">IFERROR(VLOOKUP(D10,categorieen!$D:$E,2,0),"")</f>
        <v>3 of 4 letters</v>
      </c>
      <c r="O10" s="9" t="str">
        <f aca="false">IFERROR(VLOOKUP(E10,categorieen!$D:$E,2,0),"")</f>
        <v>In de volksmond (IDV)</v>
      </c>
      <c r="P10" s="9" t="str">
        <f aca="false">IFERROR(VLOOKUP(F10,categorieen!$D:$E,2,0),"")</f>
        <v/>
      </c>
      <c r="Q10" s="9" t="str">
        <f aca="false">IFERROR(VLOOKUP(G10,categorieen!$D:$E,2,0),"")</f>
        <v/>
      </c>
      <c r="R10" s="9" t="str">
        <f aca="false">IFERROR(VLOOKUP(H10,categorieen!$D:$E,2,0),"")</f>
        <v/>
      </c>
      <c r="S10" s="9" t="str">
        <f aca="false">IFERROR(VLOOKUP(I10,categorieen!$D:$E,2,0),"")</f>
        <v/>
      </c>
      <c r="T10" s="9" t="str">
        <f aca="false">IFERROR(VLOOKUP(J10,categorieen!$D:$E,2,0),"")</f>
        <v/>
      </c>
    </row>
    <row r="11" customFormat="false" ht="15" hidden="false" customHeight="false" outlineLevel="0" collapsed="false">
      <c r="A11" s="14" t="s">
        <v>224</v>
      </c>
      <c r="B11" s="11" t="s">
        <v>27</v>
      </c>
      <c r="C11" s="10" t="n">
        <v>11</v>
      </c>
      <c r="D11" s="10" t="n">
        <v>3</v>
      </c>
      <c r="E11" s="9"/>
      <c r="F11" s="9"/>
      <c r="G11" s="9"/>
      <c r="H11" s="9"/>
      <c r="I11" s="9"/>
      <c r="J11" s="9"/>
      <c r="K11" s="9"/>
      <c r="L11" s="9"/>
      <c r="M11" s="9" t="str">
        <f aca="false">IFERROR(VLOOKUP(C11,categorieen!$D:$E,2,0),"")</f>
        <v>Tilburg</v>
      </c>
      <c r="N11" s="9" t="str">
        <f aca="false">IFERROR(VLOOKUP(D11,categorieen!$D:$E,2,0),"")</f>
        <v>Begint met een B</v>
      </c>
      <c r="O11" s="9" t="str">
        <f aca="false">IFERROR(VLOOKUP(E11,categorieen!$D:$E,2,0),"")</f>
        <v/>
      </c>
      <c r="P11" s="9" t="str">
        <f aca="false">IFERROR(VLOOKUP(F11,categorieen!$D:$E,2,0),"")</f>
        <v/>
      </c>
      <c r="Q11" s="9" t="str">
        <f aca="false">IFERROR(VLOOKUP(G11,categorieen!$D:$E,2,0),"")</f>
        <v/>
      </c>
      <c r="R11" s="9" t="str">
        <f aca="false">IFERROR(VLOOKUP(H11,categorieen!$D:$E,2,0),"")</f>
        <v/>
      </c>
      <c r="S11" s="9" t="str">
        <f aca="false">IFERROR(VLOOKUP(I11,categorieen!$D:$E,2,0),"")</f>
        <v/>
      </c>
      <c r="T11" s="9" t="str">
        <f aca="false">IFERROR(VLOOKUP(J11,categorieen!$D:$E,2,0),"")</f>
        <v/>
      </c>
    </row>
    <row r="12" s="1" customFormat="true" ht="15" hidden="false" customHeight="false" outlineLevel="0" collapsed="false">
      <c r="A12" s="15" t="s">
        <v>28</v>
      </c>
      <c r="B12" s="16" t="s">
        <v>225</v>
      </c>
      <c r="C12" s="10" t="n">
        <v>6</v>
      </c>
      <c r="D12" s="17" t="n">
        <v>29</v>
      </c>
      <c r="E12" s="17"/>
      <c r="F12" s="17"/>
      <c r="G12" s="10"/>
      <c r="H12" s="10"/>
      <c r="I12" s="10"/>
      <c r="J12" s="10"/>
      <c r="K12" s="10"/>
      <c r="L12" s="9"/>
      <c r="M12" s="9" t="str">
        <f aca="false">IFERROR(VLOOKUP(C12,categorieen!$D:$E,2,0),"")</f>
        <v>Met B en B</v>
      </c>
      <c r="N12" s="9" t="str">
        <f aca="false">IFERROR(VLOOKUP(D12,categorieen!$D:$E,2,0),"")</f>
        <v>Hilvarenbeek</v>
      </c>
      <c r="O12" s="9" t="str">
        <f aca="false">IFERROR(VLOOKUP(E12,categorieen!$D:$E,2,0),"")</f>
        <v/>
      </c>
      <c r="P12" s="9" t="str">
        <f aca="false">IFERROR(VLOOKUP(F12,categorieen!$D:$E,2,0),"")</f>
        <v/>
      </c>
      <c r="Q12" s="9" t="str">
        <f aca="false">IFERROR(VLOOKUP(G12,categorieen!$D:$E,2,0),"")</f>
        <v/>
      </c>
      <c r="R12" s="9" t="str">
        <f aca="false">IFERROR(VLOOKUP(H12,categorieen!$D:$E,2,0),"")</f>
        <v/>
      </c>
      <c r="S12" s="9" t="str">
        <f aca="false">IFERROR(VLOOKUP(I12,categorieen!$D:$E,2,0),"")</f>
        <v/>
      </c>
      <c r="T12" s="9" t="str">
        <f aca="false">IFERROR(VLOOKUP(J12,categorieen!$D:$E,2,0),"")</f>
        <v/>
      </c>
    </row>
    <row r="13" customFormat="false" ht="15" hidden="false" customHeight="false" outlineLevel="0" collapsed="false">
      <c r="A13" s="9" t="s">
        <v>29</v>
      </c>
      <c r="B13" s="11" t="s">
        <v>226</v>
      </c>
      <c r="C13" s="9" t="n">
        <v>12</v>
      </c>
      <c r="D13" s="17" t="n">
        <v>3</v>
      </c>
      <c r="E13" s="17" t="n">
        <v>19</v>
      </c>
      <c r="F13" s="17" t="n">
        <v>4</v>
      </c>
      <c r="G13" s="17" t="n">
        <v>27</v>
      </c>
      <c r="H13" s="9" t="n">
        <v>22</v>
      </c>
      <c r="I13" s="9"/>
      <c r="J13" s="9"/>
      <c r="K13" s="9"/>
      <c r="L13" s="9"/>
      <c r="M13" s="9" t="str">
        <f aca="false">IFERROR(VLOOKUP(C13,categorieen!$D:$E,2,0),"")</f>
        <v>Water</v>
      </c>
      <c r="N13" s="9" t="str">
        <f aca="false">IFERROR(VLOOKUP(D13,categorieen!$D:$E,2,0),"")</f>
        <v>Begint met een B</v>
      </c>
      <c r="O13" s="9" t="str">
        <f aca="false">IFERROR(VLOOKUP(E13,categorieen!$D:$E,2,0),"")</f>
        <v>Natuur</v>
      </c>
      <c r="P13" s="9" t="str">
        <f aca="false">IFERROR(VLOOKUP(F13,categorieen!$D:$E,2,0),"")</f>
        <v>Zes letters</v>
      </c>
      <c r="Q13" s="9" t="str">
        <f aca="false">IFERROR(VLOOKUP(G13,categorieen!$D:$E,2,0),"")</f>
        <v>Eten en Drinken (ED)</v>
      </c>
      <c r="R13" s="9" t="str">
        <f aca="false">IFERROR(VLOOKUP(H13,categorieen!$D:$E,2,0),"")</f>
        <v>3x dezelfde letter</v>
      </c>
      <c r="S13" s="9" t="str">
        <f aca="false">IFERROR(VLOOKUP(I13,categorieen!$D:$E,2,0),"")</f>
        <v/>
      </c>
      <c r="T13" s="9" t="str">
        <f aca="false">IFERROR(VLOOKUP(J13,categorieen!$D:$E,2,0),"")</f>
        <v/>
      </c>
    </row>
    <row r="14" customFormat="false" ht="15" hidden="false" customHeight="false" outlineLevel="0" collapsed="false">
      <c r="A14" s="9" t="s">
        <v>30</v>
      </c>
      <c r="B14" s="11" t="s">
        <v>227</v>
      </c>
      <c r="C14" s="9" t="n">
        <v>3</v>
      </c>
      <c r="D14" s="17" t="n">
        <v>4</v>
      </c>
      <c r="E14" s="17" t="n">
        <v>30</v>
      </c>
      <c r="F14" s="17" t="n">
        <v>40</v>
      </c>
      <c r="G14" s="9"/>
      <c r="H14" s="9"/>
      <c r="I14" s="9"/>
      <c r="J14" s="9"/>
      <c r="K14" s="9"/>
      <c r="L14" s="9"/>
      <c r="M14" s="9" t="str">
        <f aca="false">IFERROR(VLOOKUP(C14,categorieen!$D:$E,2,0),"")</f>
        <v>Begint met een B</v>
      </c>
      <c r="N14" s="9" t="str">
        <f aca="false">IFERROR(VLOOKUP(D14,categorieen!$D:$E,2,0),"")</f>
        <v>Zes letters</v>
      </c>
      <c r="O14" s="9" t="str">
        <f aca="false">IFERROR(VLOOKUP(E14,categorieen!$D:$E,2,0),"")</f>
        <v>In de volksmond (IDV)</v>
      </c>
      <c r="P14" s="9" t="str">
        <f aca="false">IFERROR(VLOOKUP(F14,categorieen!$D:$E,2,0),"")</f>
        <v>Typisch Brabants (TB)</v>
      </c>
      <c r="Q14" s="9" t="str">
        <f aca="false">IFERROR(VLOOKUP(G14,categorieen!$D:$E,2,0),"")</f>
        <v/>
      </c>
      <c r="R14" s="9" t="str">
        <f aca="false">IFERROR(VLOOKUP(H14,categorieen!$D:$E,2,0),"")</f>
        <v/>
      </c>
      <c r="S14" s="9" t="str">
        <f aca="false">IFERROR(VLOOKUP(I14,categorieen!$D:$E,2,0),"")</f>
        <v/>
      </c>
      <c r="T14" s="9" t="str">
        <f aca="false">IFERROR(VLOOKUP(J14,categorieen!$D:$E,2,0),"")</f>
        <v/>
      </c>
    </row>
    <row r="15" customFormat="false" ht="15" hidden="false" customHeight="false" outlineLevel="0" collapsed="false">
      <c r="A15" s="9" t="s">
        <v>31</v>
      </c>
      <c r="B15" s="11" t="s">
        <v>228</v>
      </c>
      <c r="C15" s="9" t="n">
        <v>21</v>
      </c>
      <c r="D15" s="9" t="n">
        <v>3</v>
      </c>
      <c r="E15" s="9" t="n">
        <v>22</v>
      </c>
      <c r="F15" s="9"/>
      <c r="G15" s="9"/>
      <c r="H15" s="9"/>
      <c r="I15" s="9"/>
      <c r="J15" s="9"/>
      <c r="K15" s="9"/>
      <c r="L15" s="9"/>
      <c r="M15" s="9" t="str">
        <f aca="false">IFERROR(VLOOKUP(C15,categorieen!$D:$E,2,0),"")</f>
        <v>West Brabant</v>
      </c>
      <c r="N15" s="9" t="str">
        <f aca="false">IFERROR(VLOOKUP(D15,categorieen!$D:$E,2,0),"")</f>
        <v>Begint met een B</v>
      </c>
      <c r="O15" s="9" t="str">
        <f aca="false">IFERROR(VLOOKUP(E15,categorieen!$D:$E,2,0),"")</f>
        <v>3x dezelfde letter</v>
      </c>
      <c r="P15" s="9" t="str">
        <f aca="false">IFERROR(VLOOKUP(F15,categorieen!$D:$E,2,0),"")</f>
        <v/>
      </c>
      <c r="Q15" s="9" t="str">
        <f aca="false">IFERROR(VLOOKUP(G15,categorieen!$D:$E,2,0),"")</f>
        <v/>
      </c>
      <c r="R15" s="9" t="str">
        <f aca="false">IFERROR(VLOOKUP(H15,categorieen!$D:$E,2,0),"")</f>
        <v/>
      </c>
      <c r="S15" s="9" t="str">
        <f aca="false">IFERROR(VLOOKUP(I15,categorieen!$D:$E,2,0),"")</f>
        <v/>
      </c>
      <c r="T15" s="9" t="str">
        <f aca="false">IFERROR(VLOOKUP(J15,categorieen!$D:$E,2,0),"")</f>
        <v/>
      </c>
    </row>
    <row r="16" customFormat="false" ht="15" hidden="false" customHeight="false" outlineLevel="0" collapsed="false">
      <c r="A16" s="14" t="s">
        <v>32</v>
      </c>
      <c r="B16" s="11"/>
      <c r="C16" s="10" t="n">
        <v>3</v>
      </c>
      <c r="D16" s="10" t="n">
        <v>12</v>
      </c>
      <c r="E16" s="9"/>
      <c r="F16" s="9"/>
      <c r="G16" s="9"/>
      <c r="H16" s="9"/>
      <c r="I16" s="9"/>
      <c r="J16" s="9"/>
      <c r="K16" s="9"/>
      <c r="L16" s="9"/>
      <c r="M16" s="9" t="str">
        <f aca="false">IFERROR(VLOOKUP(C16,categorieen!$D:$E,2,0),"")</f>
        <v>Begint met een B</v>
      </c>
      <c r="N16" s="9" t="str">
        <f aca="false">IFERROR(VLOOKUP(D16,categorieen!$D:$E,2,0),"")</f>
        <v>Water</v>
      </c>
      <c r="O16" s="9" t="str">
        <f aca="false">IFERROR(VLOOKUP(E16,categorieen!$D:$E,2,0),"")</f>
        <v/>
      </c>
      <c r="P16" s="9" t="str">
        <f aca="false">IFERROR(VLOOKUP(F16,categorieen!$D:$E,2,0),"")</f>
        <v/>
      </c>
      <c r="Q16" s="9" t="str">
        <f aca="false">IFERROR(VLOOKUP(G16,categorieen!$D:$E,2,0),"")</f>
        <v/>
      </c>
      <c r="R16" s="9" t="str">
        <f aca="false">IFERROR(VLOOKUP(H16,categorieen!$D:$E,2,0),"")</f>
        <v/>
      </c>
      <c r="S16" s="9" t="str">
        <f aca="false">IFERROR(VLOOKUP(I16,categorieen!$D:$E,2,0),"")</f>
        <v/>
      </c>
      <c r="T16" s="9" t="str">
        <f aca="false">IFERROR(VLOOKUP(J16,categorieen!$D:$E,2,0),"")</f>
        <v/>
      </c>
    </row>
    <row r="17" customFormat="false" ht="30" hidden="false" customHeight="false" outlineLevel="0" collapsed="false">
      <c r="A17" s="9" t="s">
        <v>33</v>
      </c>
      <c r="B17" s="11" t="s">
        <v>229</v>
      </c>
      <c r="C17" s="9" t="n">
        <v>24</v>
      </c>
      <c r="D17" s="9" t="n">
        <v>3</v>
      </c>
      <c r="E17" s="9" t="n">
        <v>1</v>
      </c>
      <c r="F17" s="9" t="n">
        <v>32</v>
      </c>
      <c r="G17" s="9" t="n">
        <v>6</v>
      </c>
      <c r="H17" s="9" t="n">
        <v>40</v>
      </c>
      <c r="I17" s="9"/>
      <c r="J17" s="9"/>
      <c r="K17" s="9"/>
      <c r="L17" s="9"/>
      <c r="M17" s="9" t="str">
        <f aca="false">IFERROR(VLOOKUP(C17,categorieen!$D:$E,2,0),"")</f>
        <v>3 of 4 letters</v>
      </c>
      <c r="N17" s="9" t="str">
        <f aca="false">IFERROR(VLOOKUP(D17,categorieen!$D:$E,2,0),"")</f>
        <v>Begint met een B</v>
      </c>
      <c r="O17" s="9" t="str">
        <f aca="false">IFERROR(VLOOKUP(E17,categorieen!$D:$E,2,0),"")</f>
        <v>Eerste- en Eindletter hetzelfde</v>
      </c>
      <c r="P17" s="9" t="str">
        <f aca="false">IFERROR(VLOOKUP(F17,categorieen!$D:$E,2,0),"")</f>
        <v>Met ie</v>
      </c>
      <c r="Q17" s="9" t="str">
        <f aca="false">IFERROR(VLOOKUP(G17,categorieen!$D:$E,2,0),"")</f>
        <v>Met B en B</v>
      </c>
      <c r="R17" s="9" t="str">
        <f aca="false">IFERROR(VLOOKUP(H17,categorieen!$D:$E,2,0),"")</f>
        <v>Typisch Brabants (TB)</v>
      </c>
      <c r="S17" s="9" t="str">
        <f aca="false">IFERROR(VLOOKUP(I17,categorieen!$D:$E,2,0),"")</f>
        <v/>
      </c>
      <c r="T17" s="9" t="str">
        <f aca="false">IFERROR(VLOOKUP(J17,categorieen!$D:$E,2,0),"")</f>
        <v/>
      </c>
    </row>
    <row r="18" customFormat="false" ht="15" hidden="false" customHeight="false" outlineLevel="0" collapsed="false">
      <c r="A18" s="9" t="s">
        <v>34</v>
      </c>
      <c r="B18" s="11"/>
      <c r="C18" s="9" t="n">
        <v>32</v>
      </c>
      <c r="D18" s="9" t="n">
        <v>29</v>
      </c>
      <c r="E18" s="9" t="n">
        <v>3</v>
      </c>
      <c r="F18" s="9" t="n">
        <v>27</v>
      </c>
      <c r="G18" s="9" t="n">
        <v>22</v>
      </c>
      <c r="H18" s="9"/>
      <c r="I18" s="9"/>
      <c r="J18" s="9"/>
      <c r="K18" s="9"/>
      <c r="L18" s="9"/>
      <c r="M18" s="9" t="str">
        <f aca="false">IFERROR(VLOOKUP(C18,categorieen!$D:$E,2,0),"")</f>
        <v>Met ie</v>
      </c>
      <c r="N18" s="9" t="str">
        <f aca="false">IFERROR(VLOOKUP(D18,categorieen!$D:$E,2,0),"")</f>
        <v>Hilvarenbeek</v>
      </c>
      <c r="O18" s="9" t="str">
        <f aca="false">IFERROR(VLOOKUP(E18,categorieen!$D:$E,2,0),"")</f>
        <v>Begint met een B</v>
      </c>
      <c r="P18" s="9" t="str">
        <f aca="false">IFERROR(VLOOKUP(F18,categorieen!$D:$E,2,0),"")</f>
        <v>Eten en Drinken (ED)</v>
      </c>
      <c r="Q18" s="9" t="str">
        <f aca="false">IFERROR(VLOOKUP(G18,categorieen!$D:$E,2,0),"")</f>
        <v>3x dezelfde letter</v>
      </c>
      <c r="R18" s="9" t="str">
        <f aca="false">IFERROR(VLOOKUP(H18,categorieen!$D:$E,2,0),"")</f>
        <v/>
      </c>
      <c r="S18" s="9" t="str">
        <f aca="false">IFERROR(VLOOKUP(I18,categorieen!$D:$E,2,0),"")</f>
        <v/>
      </c>
      <c r="T18" s="9" t="str">
        <f aca="false">IFERROR(VLOOKUP(J18,categorieen!$D:$E,2,0),"")</f>
        <v/>
      </c>
    </row>
    <row r="19" customFormat="false" ht="15" hidden="false" customHeight="false" outlineLevel="0" collapsed="false">
      <c r="A19" s="14" t="s">
        <v>35</v>
      </c>
      <c r="B19" s="11" t="s">
        <v>230</v>
      </c>
      <c r="C19" s="10" t="n">
        <v>6</v>
      </c>
      <c r="D19" s="10" t="n">
        <v>19</v>
      </c>
      <c r="E19" s="9"/>
      <c r="F19" s="9"/>
      <c r="G19" s="9"/>
      <c r="H19" s="9"/>
      <c r="I19" s="9"/>
      <c r="J19" s="9"/>
      <c r="K19" s="9"/>
      <c r="L19" s="9"/>
      <c r="M19" s="9" t="str">
        <f aca="false">IFERROR(VLOOKUP(C19,categorieen!$D:$E,2,0),"")</f>
        <v>Met B en B</v>
      </c>
      <c r="N19" s="9" t="str">
        <f aca="false">IFERROR(VLOOKUP(D19,categorieen!$D:$E,2,0),"")</f>
        <v>Natuur</v>
      </c>
      <c r="O19" s="9" t="str">
        <f aca="false">IFERROR(VLOOKUP(E19,categorieen!$D:$E,2,0),"")</f>
        <v/>
      </c>
      <c r="P19" s="9" t="str">
        <f aca="false">IFERROR(VLOOKUP(F19,categorieen!$D:$E,2,0),"")</f>
        <v/>
      </c>
      <c r="Q19" s="9" t="str">
        <f aca="false">IFERROR(VLOOKUP(G19,categorieen!$D:$E,2,0),"")</f>
        <v/>
      </c>
      <c r="R19" s="9" t="str">
        <f aca="false">IFERROR(VLOOKUP(H19,categorieen!$D:$E,2,0),"")</f>
        <v/>
      </c>
      <c r="S19" s="9" t="str">
        <f aca="false">IFERROR(VLOOKUP(I19,categorieen!$D:$E,2,0),"")</f>
        <v/>
      </c>
      <c r="T19" s="9" t="str">
        <f aca="false">IFERROR(VLOOKUP(J19,categorieen!$D:$E,2,0),"")</f>
        <v/>
      </c>
    </row>
    <row r="20" customFormat="false" ht="15" hidden="false" customHeight="false" outlineLevel="0" collapsed="false">
      <c r="A20" s="9" t="s">
        <v>36</v>
      </c>
      <c r="B20" s="11" t="s">
        <v>37</v>
      </c>
      <c r="C20" s="9" t="n">
        <v>6</v>
      </c>
      <c r="D20" s="9" t="n">
        <v>38</v>
      </c>
      <c r="E20" s="9" t="n">
        <v>3</v>
      </c>
      <c r="F20" s="9" t="n">
        <v>32</v>
      </c>
      <c r="G20" s="9" t="n">
        <v>29</v>
      </c>
      <c r="H20" s="9" t="n">
        <v>22</v>
      </c>
      <c r="I20" s="9"/>
      <c r="J20" s="9"/>
      <c r="K20" s="9"/>
      <c r="L20" s="9"/>
      <c r="M20" s="9" t="str">
        <f aca="false">IFERROR(VLOOKUP(C20,categorieen!$D:$E,2,0),"")</f>
        <v>Met B en B</v>
      </c>
      <c r="N20" s="9" t="str">
        <f aca="false">IFERROR(VLOOKUP(D20,categorieen!$D:$E,2,0),"")</f>
        <v>Sport</v>
      </c>
      <c r="O20" s="9" t="str">
        <f aca="false">IFERROR(VLOOKUP(E20,categorieen!$D:$E,2,0),"")</f>
        <v>Begint met een B</v>
      </c>
      <c r="P20" s="9" t="str">
        <f aca="false">IFERROR(VLOOKUP(F20,categorieen!$D:$E,2,0),"")</f>
        <v>Met ie</v>
      </c>
      <c r="Q20" s="9" t="str">
        <f aca="false">IFERROR(VLOOKUP(G20,categorieen!$D:$E,2,0),"")</f>
        <v>Hilvarenbeek</v>
      </c>
      <c r="R20" s="9" t="str">
        <f aca="false">IFERROR(VLOOKUP(H20,categorieen!$D:$E,2,0),"")</f>
        <v>3x dezelfde letter</v>
      </c>
      <c r="S20" s="9" t="str">
        <f aca="false">IFERROR(VLOOKUP(I20,categorieen!$D:$E,2,0),"")</f>
        <v/>
      </c>
      <c r="T20" s="9" t="str">
        <f aca="false">IFERROR(VLOOKUP(J20,categorieen!$D:$E,2,0),"")</f>
        <v/>
      </c>
    </row>
    <row r="21" customFormat="false" ht="15" hidden="false" customHeight="false" outlineLevel="0" collapsed="false">
      <c r="A21" s="9" t="s">
        <v>38</v>
      </c>
      <c r="B21" s="11" t="s">
        <v>231</v>
      </c>
      <c r="C21" s="9" t="n">
        <v>3</v>
      </c>
      <c r="D21" s="9" t="n">
        <v>12</v>
      </c>
      <c r="E21" s="9" t="n">
        <v>19</v>
      </c>
      <c r="F21" s="9" t="n">
        <v>32</v>
      </c>
      <c r="G21" s="9" t="n">
        <v>37</v>
      </c>
      <c r="H21" s="9"/>
      <c r="I21" s="9"/>
      <c r="J21" s="9"/>
      <c r="K21" s="9"/>
      <c r="L21" s="9"/>
      <c r="M21" s="9" t="str">
        <f aca="false">IFERROR(VLOOKUP(C21,categorieen!$D:$E,2,0),"")</f>
        <v>Begint met een B</v>
      </c>
      <c r="N21" s="9" t="str">
        <f aca="false">IFERROR(VLOOKUP(D21,categorieen!$D:$E,2,0),"")</f>
        <v>Water</v>
      </c>
      <c r="O21" s="9" t="str">
        <f aca="false">IFERROR(VLOOKUP(E21,categorieen!$D:$E,2,0),"")</f>
        <v>Natuur</v>
      </c>
      <c r="P21" s="9" t="str">
        <f aca="false">IFERROR(VLOOKUP(F21,categorieen!$D:$E,2,0),"")</f>
        <v>Met ie</v>
      </c>
      <c r="Q21" s="9" t="str">
        <f aca="false">IFERROR(VLOOKUP(G21,categorieen!$D:$E,2,0),"")</f>
        <v>s Hertogenbosch (DB)</v>
      </c>
      <c r="R21" s="9" t="str">
        <f aca="false">IFERROR(VLOOKUP(H21,categorieen!$D:$E,2,0),"")</f>
        <v/>
      </c>
      <c r="S21" s="9" t="str">
        <f aca="false">IFERROR(VLOOKUP(I21,categorieen!$D:$E,2,0),"")</f>
        <v/>
      </c>
      <c r="T21" s="9" t="str">
        <f aca="false">IFERROR(VLOOKUP(J21,categorieen!$D:$E,2,0),"")</f>
        <v/>
      </c>
    </row>
    <row r="22" customFormat="false" ht="15" hidden="false" customHeight="false" outlineLevel="0" collapsed="false">
      <c r="A22" s="9" t="s">
        <v>39</v>
      </c>
      <c r="B22" s="11" t="s">
        <v>232</v>
      </c>
      <c r="C22" s="9" t="n">
        <v>3</v>
      </c>
      <c r="D22" s="9" t="n">
        <v>4</v>
      </c>
      <c r="E22" s="9" t="n">
        <v>27</v>
      </c>
      <c r="F22" s="9" t="n">
        <v>38</v>
      </c>
      <c r="G22" s="9"/>
      <c r="H22" s="9"/>
      <c r="I22" s="9"/>
      <c r="J22" s="9"/>
      <c r="K22" s="9"/>
      <c r="L22" s="9"/>
      <c r="M22" s="9" t="str">
        <f aca="false">IFERROR(VLOOKUP(C22,categorieen!$D:$E,2,0),"")</f>
        <v>Begint met een B</v>
      </c>
      <c r="N22" s="9" t="str">
        <f aca="false">IFERROR(VLOOKUP(D22,categorieen!$D:$E,2,0),"")</f>
        <v>Zes letters</v>
      </c>
      <c r="O22" s="9" t="str">
        <f aca="false">IFERROR(VLOOKUP(E22,categorieen!$D:$E,2,0),"")</f>
        <v>Eten en Drinken (ED)</v>
      </c>
      <c r="P22" s="9" t="str">
        <f aca="false">IFERROR(VLOOKUP(F22,categorieen!$D:$E,2,0),"")</f>
        <v>Sport</v>
      </c>
      <c r="Q22" s="9" t="str">
        <f aca="false">IFERROR(VLOOKUP(G22,categorieen!$D:$E,2,0),"")</f>
        <v/>
      </c>
      <c r="R22" s="9" t="str">
        <f aca="false">IFERROR(VLOOKUP(H22,categorieen!$D:$E,2,0),"")</f>
        <v/>
      </c>
      <c r="S22" s="9" t="str">
        <f aca="false">IFERROR(VLOOKUP(I22,categorieen!$D:$E,2,0),"")</f>
        <v/>
      </c>
      <c r="T22" s="9" t="str">
        <f aca="false">IFERROR(VLOOKUP(J22,categorieen!$D:$E,2,0),"")</f>
        <v/>
      </c>
    </row>
    <row r="23" customFormat="false" ht="15" hidden="false" customHeight="false" outlineLevel="0" collapsed="false">
      <c r="A23" s="10" t="s">
        <v>40</v>
      </c>
      <c r="B23" s="11"/>
      <c r="C23" s="10" t="n">
        <v>22</v>
      </c>
      <c r="D23" s="10" t="n">
        <v>2</v>
      </c>
      <c r="E23" s="9" t="n">
        <v>3</v>
      </c>
      <c r="F23" s="9" t="n">
        <v>17</v>
      </c>
      <c r="G23" s="9" t="n">
        <v>29</v>
      </c>
      <c r="H23" s="9"/>
      <c r="I23" s="9"/>
      <c r="J23" s="9"/>
      <c r="K23" s="9"/>
      <c r="L23" s="9"/>
      <c r="M23" s="9" t="str">
        <f aca="false">IFERROR(VLOOKUP(C23,categorieen!$D:$E,2,0),"")</f>
        <v>3x dezelfde letter</v>
      </c>
      <c r="N23" s="9" t="str">
        <f aca="false">IFERROR(VLOOKUP(D23,categorieen!$D:$E,2,0),"")</f>
        <v>(stand)beeld / (Rijks)monument</v>
      </c>
      <c r="O23" s="9" t="str">
        <f aca="false">IFERROR(VLOOKUP(E23,categorieen!$D:$E,2,0),"")</f>
        <v>Begint met een B</v>
      </c>
      <c r="P23" s="9" t="str">
        <f aca="false">IFERROR(VLOOKUP(F23,categorieen!$D:$E,2,0),"")</f>
        <v>Met dubbel s</v>
      </c>
      <c r="Q23" s="9" t="str">
        <f aca="false">IFERROR(VLOOKUP(G23,categorieen!$D:$E,2,0),"")</f>
        <v>Hilvarenbeek</v>
      </c>
      <c r="R23" s="9" t="str">
        <f aca="false">IFERROR(VLOOKUP(H23,categorieen!$D:$E,2,0),"")</f>
        <v/>
      </c>
      <c r="S23" s="9" t="str">
        <f aca="false">IFERROR(VLOOKUP(I23,categorieen!$D:$E,2,0),"")</f>
        <v/>
      </c>
      <c r="T23" s="9" t="str">
        <f aca="false">IFERROR(VLOOKUP(J23,categorieen!$D:$E,2,0),"")</f>
        <v/>
      </c>
    </row>
    <row r="24" customFormat="false" ht="15" hidden="false" customHeight="false" outlineLevel="0" collapsed="false">
      <c r="A24" s="10" t="s">
        <v>41</v>
      </c>
      <c r="B24" s="11" t="s">
        <v>42</v>
      </c>
      <c r="C24" s="9" t="n">
        <v>6</v>
      </c>
      <c r="D24" s="9" t="n">
        <v>3</v>
      </c>
      <c r="E24" s="9" t="n">
        <v>19</v>
      </c>
      <c r="F24" s="9" t="n">
        <v>37</v>
      </c>
      <c r="G24" s="9"/>
      <c r="H24" s="9"/>
      <c r="I24" s="9"/>
      <c r="J24" s="9"/>
      <c r="K24" s="9"/>
      <c r="L24" s="9"/>
      <c r="M24" s="9" t="str">
        <f aca="false">IFERROR(VLOOKUP(C24,categorieen!$D:$E,2,0),"")</f>
        <v>Met B en B</v>
      </c>
      <c r="N24" s="9" t="str">
        <f aca="false">IFERROR(VLOOKUP(D24,categorieen!$D:$E,2,0),"")</f>
        <v>Begint met een B</v>
      </c>
      <c r="O24" s="9" t="str">
        <f aca="false">IFERROR(VLOOKUP(E24,categorieen!$D:$E,2,0),"")</f>
        <v>Natuur</v>
      </c>
      <c r="P24" s="9" t="str">
        <f aca="false">IFERROR(VLOOKUP(F24,categorieen!$D:$E,2,0),"")</f>
        <v>s Hertogenbosch (DB)</v>
      </c>
      <c r="Q24" s="9" t="str">
        <f aca="false">IFERROR(VLOOKUP(G24,categorieen!$D:$E,2,0),"")</f>
        <v/>
      </c>
      <c r="R24" s="9" t="str">
        <f aca="false">IFERROR(VLOOKUP(H24,categorieen!$D:$E,2,0),"")</f>
        <v/>
      </c>
      <c r="S24" s="9" t="str">
        <f aca="false">IFERROR(VLOOKUP(I24,categorieen!$D:$E,2,0),"")</f>
        <v/>
      </c>
      <c r="T24" s="9" t="str">
        <f aca="false">IFERROR(VLOOKUP(J24,categorieen!$D:$E,2,0),"")</f>
        <v/>
      </c>
    </row>
    <row r="25" customFormat="false" ht="15" hidden="false" customHeight="false" outlineLevel="0" collapsed="false">
      <c r="A25" s="9" t="s">
        <v>43</v>
      </c>
      <c r="B25" s="11" t="s">
        <v>44</v>
      </c>
      <c r="C25" s="9" t="n">
        <v>14</v>
      </c>
      <c r="D25" s="9" t="n">
        <v>3</v>
      </c>
      <c r="E25" s="9" t="n">
        <v>19</v>
      </c>
      <c r="F25" s="9" t="n">
        <v>33</v>
      </c>
      <c r="G25" s="9"/>
      <c r="H25" s="9"/>
      <c r="I25" s="9"/>
      <c r="J25" s="9"/>
      <c r="K25" s="9"/>
      <c r="L25" s="9"/>
      <c r="M25" s="9" t="str">
        <f aca="false">IFERROR(VLOOKUP(C25,categorieen!$D:$E,2,0),"")</f>
        <v>Kasteel</v>
      </c>
      <c r="N25" s="9" t="str">
        <f aca="false">IFERROR(VLOOKUP(D25,categorieen!$D:$E,2,0),"")</f>
        <v>Begint met een B</v>
      </c>
      <c r="O25" s="9" t="str">
        <f aca="false">IFERROR(VLOOKUP(E25,categorieen!$D:$E,2,0),"")</f>
        <v>Natuur</v>
      </c>
      <c r="P25" s="9" t="str">
        <f aca="false">IFERROR(VLOOKUP(F25,categorieen!$D:$E,2,0),"")</f>
        <v>076 (Breda)</v>
      </c>
      <c r="Q25" s="9" t="str">
        <f aca="false">IFERROR(VLOOKUP(G25,categorieen!$D:$E,2,0),"")</f>
        <v/>
      </c>
      <c r="R25" s="9" t="str">
        <f aca="false">IFERROR(VLOOKUP(H25,categorieen!$D:$E,2,0),"")</f>
        <v/>
      </c>
      <c r="S25" s="9" t="str">
        <f aca="false">IFERROR(VLOOKUP(I25,categorieen!$D:$E,2,0),"")</f>
        <v/>
      </c>
      <c r="T25" s="9" t="str">
        <f aca="false">IFERROR(VLOOKUP(J25,categorieen!$D:$E,2,0),"")</f>
        <v/>
      </c>
    </row>
    <row r="26" customFormat="false" ht="15" hidden="false" customHeight="false" outlineLevel="0" collapsed="false">
      <c r="A26" s="10" t="s">
        <v>45</v>
      </c>
      <c r="B26" s="11" t="s">
        <v>46</v>
      </c>
      <c r="C26" s="10" t="n">
        <v>6</v>
      </c>
      <c r="D26" s="9" t="n">
        <v>5</v>
      </c>
      <c r="E26" s="9" t="n">
        <v>11</v>
      </c>
      <c r="F26" s="9" t="n">
        <v>38</v>
      </c>
      <c r="G26" s="10" t="n">
        <v>18</v>
      </c>
      <c r="H26" s="9" t="n">
        <v>3</v>
      </c>
      <c r="I26" s="9" t="n">
        <v>22</v>
      </c>
      <c r="J26" s="9"/>
      <c r="K26" s="9"/>
      <c r="L26" s="9"/>
      <c r="M26" s="10" t="str">
        <f aca="false">IFERROR(VLOOKUP(C26,categorieen!$D:$E,2,0),"")</f>
        <v>Met B en B</v>
      </c>
      <c r="N26" s="9" t="str">
        <f aca="false">IFERROR(VLOOKUP(D26,categorieen!$D:$E,2,0),"")</f>
        <v>Bekende Brabanders</v>
      </c>
      <c r="O26" s="9" t="str">
        <f aca="false">IFERROR(VLOOKUP(E26,categorieen!$D:$E,2,0),"")</f>
        <v>Tilburg</v>
      </c>
      <c r="P26" s="9" t="str">
        <f aca="false">IFERROR(VLOOKUP(F26,categorieen!$D:$E,2,0),"")</f>
        <v>Sport</v>
      </c>
      <c r="Q26" s="9" t="str">
        <f aca="false">IFERROR(VLOOKUP(G26,categorieen!$D:$E,2,0),"")</f>
        <v>Willem II</v>
      </c>
      <c r="R26" s="9" t="str">
        <f aca="false">IFERROR(VLOOKUP(H26,categorieen!$D:$E,2,0),"")</f>
        <v>Begint met een B</v>
      </c>
      <c r="S26" s="9" t="str">
        <f aca="false">IFERROR(VLOOKUP(I26,categorieen!$D:$E,2,0),"")</f>
        <v>3x dezelfde letter</v>
      </c>
      <c r="T26" s="9" t="str">
        <f aca="false">IFERROR(VLOOKUP(J26,categorieen!$D:$E,2,0),"")</f>
        <v/>
      </c>
    </row>
    <row r="27" customFormat="false" ht="15" hidden="false" customHeight="false" outlineLevel="0" collapsed="false">
      <c r="A27" s="9" t="s">
        <v>47</v>
      </c>
      <c r="B27" s="11"/>
      <c r="C27" s="9" t="n">
        <v>8</v>
      </c>
      <c r="D27" s="9" t="n">
        <v>3</v>
      </c>
      <c r="E27" s="9" t="n">
        <v>14</v>
      </c>
      <c r="F27" s="9" t="n">
        <v>11</v>
      </c>
      <c r="G27" s="9"/>
      <c r="H27" s="9"/>
      <c r="I27" s="9"/>
      <c r="J27" s="9"/>
      <c r="K27" s="9"/>
      <c r="L27" s="9"/>
      <c r="M27" s="9" t="str">
        <f aca="false">IFERROR(VLOOKUP(C27,categorieen!$D:$E,2,0),"")</f>
        <v>040 (Eindhoven)</v>
      </c>
      <c r="N27" s="9" t="str">
        <f aca="false">IFERROR(VLOOKUP(D27,categorieen!$D:$E,2,0),"")</f>
        <v>Begint met een B</v>
      </c>
      <c r="O27" s="9" t="str">
        <f aca="false">IFERROR(VLOOKUP(E27,categorieen!$D:$E,2,0),"")</f>
        <v>Kasteel</v>
      </c>
      <c r="P27" s="9" t="str">
        <f aca="false">IFERROR(VLOOKUP(F27,categorieen!$D:$E,2,0),"")</f>
        <v>Tilburg</v>
      </c>
      <c r="Q27" s="9" t="str">
        <f aca="false">IFERROR(VLOOKUP(G27,categorieen!$D:$E,2,0),"")</f>
        <v/>
      </c>
      <c r="R27" s="9" t="str">
        <f aca="false">IFERROR(VLOOKUP(H27,categorieen!$D:$E,2,0),"")</f>
        <v/>
      </c>
      <c r="S27" s="9" t="str">
        <f aca="false">IFERROR(VLOOKUP(I27,categorieen!$D:$E,2,0),"")</f>
        <v/>
      </c>
      <c r="T27" s="9" t="str">
        <f aca="false">IFERROR(VLOOKUP(J27,categorieen!$D:$E,2,0),"")</f>
        <v/>
      </c>
    </row>
    <row r="28" customFormat="false" ht="15" hidden="false" customHeight="false" outlineLevel="0" collapsed="false">
      <c r="A28" s="10" t="s">
        <v>48</v>
      </c>
      <c r="B28" s="11"/>
      <c r="C28" s="10" t="n">
        <v>6</v>
      </c>
      <c r="D28" s="10" t="n">
        <v>5</v>
      </c>
      <c r="E28" s="9" t="n">
        <v>11</v>
      </c>
      <c r="F28" s="9" t="n">
        <v>38</v>
      </c>
      <c r="G28" s="10" t="n">
        <v>18</v>
      </c>
      <c r="H28" s="9" t="n">
        <v>3</v>
      </c>
      <c r="I28" s="9"/>
      <c r="J28" s="9"/>
      <c r="K28" s="9"/>
      <c r="L28" s="9"/>
      <c r="M28" s="9" t="str">
        <f aca="false">IFERROR(VLOOKUP(C28,categorieen!$D:$E,2,0),"")</f>
        <v>Met B en B</v>
      </c>
      <c r="N28" s="9" t="str">
        <f aca="false">IFERROR(VLOOKUP(D28,categorieen!$D:$E,2,0),"")</f>
        <v>Bekende Brabanders</v>
      </c>
      <c r="O28" s="9" t="str">
        <f aca="false">IFERROR(VLOOKUP(E28,categorieen!$D:$E,2,0),"")</f>
        <v>Tilburg</v>
      </c>
      <c r="P28" s="9" t="str">
        <f aca="false">IFERROR(VLOOKUP(F28,categorieen!$D:$E,2,0),"")</f>
        <v>Sport</v>
      </c>
      <c r="Q28" s="9" t="str">
        <f aca="false">IFERROR(VLOOKUP(G28,categorieen!$D:$E,2,0),"")</f>
        <v>Willem II</v>
      </c>
      <c r="R28" s="9" t="str">
        <f aca="false">IFERROR(VLOOKUP(H28,categorieen!$D:$E,2,0),"")</f>
        <v>Begint met een B</v>
      </c>
      <c r="S28" s="9" t="str">
        <f aca="false">IFERROR(VLOOKUP(I28,categorieen!$D:$E,2,0),"")</f>
        <v/>
      </c>
      <c r="T28" s="9" t="str">
        <f aca="false">IFERROR(VLOOKUP(J28,categorieen!$D:$E,2,0),"")</f>
        <v/>
      </c>
    </row>
    <row r="29" customFormat="false" ht="15" hidden="false" customHeight="false" outlineLevel="0" collapsed="false">
      <c r="A29" s="9" t="s">
        <v>49</v>
      </c>
      <c r="B29" s="11"/>
      <c r="C29" s="9" t="n">
        <v>32</v>
      </c>
      <c r="D29" s="9" t="n">
        <v>19</v>
      </c>
      <c r="E29" s="9" t="n">
        <v>12</v>
      </c>
      <c r="F29" s="9" t="n">
        <v>22</v>
      </c>
      <c r="G29" s="9"/>
      <c r="H29" s="9"/>
      <c r="I29" s="9"/>
      <c r="J29" s="9"/>
      <c r="K29" s="9"/>
      <c r="L29" s="9"/>
      <c r="M29" s="9" t="str">
        <f aca="false">IFERROR(VLOOKUP(C29,categorieen!$D:$E,2,0),"")</f>
        <v>Met ie</v>
      </c>
      <c r="N29" s="9" t="str">
        <f aca="false">IFERROR(VLOOKUP(D29,categorieen!$D:$E,2,0),"")</f>
        <v>Natuur</v>
      </c>
      <c r="O29" s="9" t="str">
        <f aca="false">IFERROR(VLOOKUP(E29,categorieen!$D:$E,2,0),"")</f>
        <v>Water</v>
      </c>
      <c r="P29" s="9" t="str">
        <f aca="false">IFERROR(VLOOKUP(F29,categorieen!$D:$E,2,0),"")</f>
        <v>3x dezelfde letter</v>
      </c>
      <c r="Q29" s="9" t="str">
        <f aca="false">IFERROR(VLOOKUP(G29,categorieen!$D:$E,2,0),"")</f>
        <v/>
      </c>
      <c r="R29" s="9" t="str">
        <f aca="false">IFERROR(VLOOKUP(H29,categorieen!$D:$E,2,0),"")</f>
        <v/>
      </c>
      <c r="S29" s="9" t="str">
        <f aca="false">IFERROR(VLOOKUP(I29,categorieen!$D:$E,2,0),"")</f>
        <v/>
      </c>
      <c r="T29" s="9" t="str">
        <f aca="false">IFERROR(VLOOKUP(J29,categorieen!$D:$E,2,0),"")</f>
        <v/>
      </c>
    </row>
    <row r="30" customFormat="false" ht="30" hidden="false" customHeight="true" outlineLevel="0" collapsed="false">
      <c r="A30" s="9" t="s">
        <v>50</v>
      </c>
      <c r="B30" s="11" t="s">
        <v>51</v>
      </c>
      <c r="C30" s="9" t="n">
        <v>39</v>
      </c>
      <c r="D30" s="9" t="n">
        <v>33</v>
      </c>
      <c r="E30" s="9" t="n">
        <v>21</v>
      </c>
      <c r="F30" s="9" t="n">
        <v>4</v>
      </c>
      <c r="G30" s="9" t="n">
        <v>5</v>
      </c>
      <c r="H30" s="9" t="n">
        <v>17</v>
      </c>
      <c r="I30" s="9"/>
      <c r="J30" s="9"/>
      <c r="K30" s="9"/>
      <c r="L30" s="9"/>
      <c r="M30" s="9" t="str">
        <f aca="false">IFERROR(VLOOKUP(C30,categorieen!$D:$E,2,0),"")</f>
        <v>Theater</v>
      </c>
      <c r="N30" s="9" t="str">
        <f aca="false">IFERROR(VLOOKUP(D30,categorieen!$D:$E,2,0),"")</f>
        <v>076 (Breda)</v>
      </c>
      <c r="O30" s="9" t="str">
        <f aca="false">IFERROR(VLOOKUP(E30,categorieen!$D:$E,2,0),"")</f>
        <v>West Brabant</v>
      </c>
      <c r="P30" s="9" t="str">
        <f aca="false">IFERROR(VLOOKUP(F30,categorieen!$D:$E,2,0),"")</f>
        <v>Zes letters</v>
      </c>
      <c r="Q30" s="9" t="str">
        <f aca="false">IFERROR(VLOOKUP(G30,categorieen!$D:$E,2,0),"")</f>
        <v>Bekende Brabanders</v>
      </c>
      <c r="R30" s="9" t="str">
        <f aca="false">IFERROR(VLOOKUP(H30,categorieen!$D:$E,2,0),"")</f>
        <v>Met dubbel s</v>
      </c>
      <c r="S30" s="9" t="str">
        <f aca="false">IFERROR(VLOOKUP(I30,categorieen!$D:$E,2,0),"")</f>
        <v/>
      </c>
      <c r="T30" s="9" t="str">
        <f aca="false">IFERROR(VLOOKUP(J30,categorieen!$D:$E,2,0),"")</f>
        <v/>
      </c>
    </row>
    <row r="31" customFormat="false" ht="15" hidden="false" customHeight="false" outlineLevel="0" collapsed="false">
      <c r="A31" s="9" t="s">
        <v>52</v>
      </c>
      <c r="B31" s="11"/>
      <c r="C31" s="9" t="n">
        <v>22</v>
      </c>
      <c r="D31" s="9" t="n">
        <v>14</v>
      </c>
      <c r="E31" s="9" t="n">
        <v>27</v>
      </c>
      <c r="F31" s="9" t="n">
        <v>2</v>
      </c>
      <c r="G31" s="9" t="n">
        <v>31</v>
      </c>
      <c r="H31" s="9"/>
      <c r="I31" s="9"/>
      <c r="J31" s="9"/>
      <c r="K31" s="9"/>
      <c r="L31" s="9"/>
      <c r="M31" s="9" t="str">
        <f aca="false">IFERROR(VLOOKUP(C31,categorieen!$D:$E,2,0),"")</f>
        <v>3x dezelfde letter</v>
      </c>
      <c r="N31" s="9" t="str">
        <f aca="false">IFERROR(VLOOKUP(D31,categorieen!$D:$E,2,0),"")</f>
        <v>Kasteel</v>
      </c>
      <c r="O31" s="9" t="str">
        <f aca="false">IFERROR(VLOOKUP(E31,categorieen!$D:$E,2,0),"")</f>
        <v>Eten en Drinken (ED)</v>
      </c>
      <c r="P31" s="9" t="str">
        <f aca="false">IFERROR(VLOOKUP(F31,categorieen!$D:$E,2,0),"")</f>
        <v>(stand)beeld / (Rijks)monument</v>
      </c>
      <c r="Q31" s="9" t="str">
        <f aca="false">IFERROR(VLOOKUP(G31,categorieen!$D:$E,2,0),"")</f>
        <v>Kleurrijk</v>
      </c>
      <c r="R31" s="9" t="str">
        <f aca="false">IFERROR(VLOOKUP(H31,categorieen!$D:$E,2,0),"")</f>
        <v/>
      </c>
      <c r="S31" s="9" t="str">
        <f aca="false">IFERROR(VLOOKUP(I31,categorieen!$D:$E,2,0),"")</f>
        <v/>
      </c>
      <c r="T31" s="9" t="str">
        <f aca="false">IFERROR(VLOOKUP(J31,categorieen!$D:$E,2,0),"")</f>
        <v/>
      </c>
    </row>
    <row r="32" customFormat="false" ht="15" hidden="false" customHeight="false" outlineLevel="0" collapsed="false">
      <c r="A32" s="9" t="s">
        <v>53</v>
      </c>
      <c r="B32" s="11"/>
      <c r="C32" s="9" t="n">
        <v>22</v>
      </c>
      <c r="D32" s="9" t="n">
        <v>1</v>
      </c>
      <c r="E32" s="9" t="n">
        <v>42</v>
      </c>
      <c r="F32" s="9" t="n">
        <v>27</v>
      </c>
      <c r="G32" s="9"/>
      <c r="H32" s="9"/>
      <c r="I32" s="9"/>
      <c r="J32" s="9"/>
      <c r="K32" s="9"/>
      <c r="L32" s="9"/>
      <c r="M32" s="9" t="str">
        <f aca="false">IFERROR(VLOOKUP(C32,categorieen!$D:$E,2,0),"")</f>
        <v>3x dezelfde letter</v>
      </c>
      <c r="N32" s="9" t="str">
        <f aca="false">IFERROR(VLOOKUP(D32,categorieen!$D:$E,2,0),"")</f>
        <v>Eerste- en Eindletter hetzelfde</v>
      </c>
      <c r="O32" s="9" t="str">
        <f aca="false">IFERROR(VLOOKUP(E32,categorieen!$D:$E,2,0),"")</f>
        <v>7 letters</v>
      </c>
      <c r="P32" s="9" t="str">
        <f aca="false">IFERROR(VLOOKUP(F32,categorieen!$D:$E,2,0),"")</f>
        <v>Eten en Drinken (ED)</v>
      </c>
      <c r="Q32" s="9" t="str">
        <f aca="false">IFERROR(VLOOKUP(G32,categorieen!$D:$E,2,0),"")</f>
        <v/>
      </c>
      <c r="R32" s="9" t="str">
        <f aca="false">IFERROR(VLOOKUP(H32,categorieen!$D:$E,2,0),"")</f>
        <v/>
      </c>
      <c r="S32" s="9" t="str">
        <f aca="false">IFERROR(VLOOKUP(I32,categorieen!$D:$E,2,0),"")</f>
        <v/>
      </c>
      <c r="T32" s="9" t="str">
        <f aca="false">IFERROR(VLOOKUP(J32,categorieen!$D:$E,2,0),"")</f>
        <v/>
      </c>
    </row>
    <row r="33" customFormat="false" ht="15" hidden="false" customHeight="false" outlineLevel="0" collapsed="false">
      <c r="A33" s="9" t="s">
        <v>54</v>
      </c>
      <c r="B33" s="11"/>
      <c r="C33" s="9" t="n">
        <v>33</v>
      </c>
      <c r="D33" s="9" t="n">
        <v>21</v>
      </c>
      <c r="E33" s="9" t="n">
        <v>42</v>
      </c>
      <c r="F33" s="9" t="n">
        <v>15</v>
      </c>
      <c r="G33" s="9" t="n">
        <v>4</v>
      </c>
      <c r="H33" s="9"/>
      <c r="I33" s="9"/>
      <c r="J33" s="9"/>
      <c r="K33" s="9"/>
      <c r="L33" s="9"/>
      <c r="M33" s="9" t="str">
        <f aca="false">IFERROR(VLOOKUP(C33,categorieen!$D:$E,2,0),"")</f>
        <v>076 (Breda)</v>
      </c>
      <c r="N33" s="9" t="str">
        <f aca="false">IFERROR(VLOOKUP(D33,categorieen!$D:$E,2,0),"")</f>
        <v>West Brabant</v>
      </c>
      <c r="O33" s="9" t="str">
        <f aca="false">IFERROR(VLOOKUP(E33,categorieen!$D:$E,2,0),"")</f>
        <v>7 letters</v>
      </c>
      <c r="P33" s="9" t="str">
        <f aca="false">IFERROR(VLOOKUP(F33,categorieen!$D:$E,2,0),"")</f>
        <v>Getal/Cijfer</v>
      </c>
      <c r="Q33" s="9" t="str">
        <f aca="false">IFERROR(VLOOKUP(G33,categorieen!$D:$E,2,0),"")</f>
        <v>Zes letters</v>
      </c>
      <c r="R33" s="9" t="str">
        <f aca="false">IFERROR(VLOOKUP(H33,categorieen!$D:$E,2,0),"")</f>
        <v/>
      </c>
      <c r="S33" s="9" t="str">
        <f aca="false">IFERROR(VLOOKUP(I33,categorieen!$D:$E,2,0),"")</f>
        <v/>
      </c>
      <c r="T33" s="9" t="str">
        <f aca="false">IFERROR(VLOOKUP(J33,categorieen!$D:$E,2,0),"")</f>
        <v/>
      </c>
    </row>
    <row r="34" customFormat="false" ht="15" hidden="false" customHeight="false" outlineLevel="0" collapsed="false">
      <c r="A34" s="9" t="s">
        <v>55</v>
      </c>
      <c r="B34" s="11"/>
      <c r="C34" s="9" t="n">
        <v>12</v>
      </c>
      <c r="D34" s="9" t="n">
        <v>19</v>
      </c>
      <c r="E34" s="9" t="n">
        <v>21</v>
      </c>
      <c r="F34" s="9" t="n">
        <v>39</v>
      </c>
      <c r="G34" s="9" t="n">
        <v>22</v>
      </c>
      <c r="H34" s="9" t="n">
        <v>34</v>
      </c>
      <c r="I34" s="9"/>
      <c r="J34" s="9"/>
      <c r="K34" s="9"/>
      <c r="L34" s="9"/>
      <c r="M34" s="9" t="str">
        <f aca="false">IFERROR(VLOOKUP(C34,categorieen!$D:$E,2,0),"")</f>
        <v>Water</v>
      </c>
      <c r="N34" s="9" t="str">
        <f aca="false">IFERROR(VLOOKUP(D34,categorieen!$D:$E,2,0),"")</f>
        <v>Natuur</v>
      </c>
      <c r="O34" s="9" t="str">
        <f aca="false">IFERROR(VLOOKUP(E34,categorieen!$D:$E,2,0),"")</f>
        <v>West Brabant</v>
      </c>
      <c r="P34" s="9" t="str">
        <f aca="false">IFERROR(VLOOKUP(F34,categorieen!$D:$E,2,0),"")</f>
        <v>Theater</v>
      </c>
      <c r="Q34" s="9" t="str">
        <f aca="false">IFERROR(VLOOKUP(G34,categorieen!$D:$E,2,0),"")</f>
        <v>3x dezelfde letter</v>
      </c>
      <c r="R34" s="9" t="str">
        <f aca="false">IFERROR(VLOOKUP(H34,categorieen!$D:$E,2,0),"")</f>
        <v>Met 4 Wieken</v>
      </c>
      <c r="S34" s="9" t="str">
        <f aca="false">IFERROR(VLOOKUP(I34,categorieen!$D:$E,2,0),"")</f>
        <v/>
      </c>
      <c r="T34" s="9" t="str">
        <f aca="false">IFERROR(VLOOKUP(J34,categorieen!$D:$E,2,0),"")</f>
        <v/>
      </c>
    </row>
    <row r="35" customFormat="false" ht="15" hidden="false" customHeight="false" outlineLevel="0" collapsed="false">
      <c r="A35" s="9" t="s">
        <v>56</v>
      </c>
      <c r="B35" s="11"/>
      <c r="C35" s="9" t="n">
        <v>16</v>
      </c>
      <c r="D35" s="9" t="n">
        <v>36</v>
      </c>
      <c r="E35" s="9" t="n">
        <v>8</v>
      </c>
      <c r="F35" s="9" t="n">
        <v>11</v>
      </c>
      <c r="G35" s="9" t="n">
        <v>9</v>
      </c>
      <c r="H35" s="9" t="n">
        <v>22</v>
      </c>
      <c r="I35" s="9" t="n">
        <v>26</v>
      </c>
      <c r="J35" s="9"/>
      <c r="K35" s="9"/>
      <c r="L35" s="9"/>
      <c r="M35" s="9" t="str">
        <f aca="false">IFERROR(VLOOKUP(C35,categorieen!$D:$E,2,0),"")</f>
        <v>Buurtschap</v>
      </c>
      <c r="N35" s="9" t="str">
        <f aca="false">IFERROR(VLOOKUP(D35,categorieen!$D:$E,2,0),"")</f>
        <v>Plein</v>
      </c>
      <c r="O35" s="9" t="str">
        <f aca="false">IFERROR(VLOOKUP(E35,categorieen!$D:$E,2,0),"")</f>
        <v>040 (Eindhoven)</v>
      </c>
      <c r="P35" s="9" t="str">
        <f aca="false">IFERROR(VLOOKUP(F35,categorieen!$D:$E,2,0),"")</f>
        <v>Tilburg</v>
      </c>
      <c r="Q35" s="9" t="str">
        <f aca="false">IFERROR(VLOOKUP(G35,categorieen!$D:$E,2,0),"")</f>
        <v>Kiosk</v>
      </c>
      <c r="R35" s="9" t="str">
        <f aca="false">IFERROR(VLOOKUP(H35,categorieen!$D:$E,2,0),"")</f>
        <v>3x dezelfde letter</v>
      </c>
      <c r="S35" s="9" t="str">
        <f aca="false">IFERROR(VLOOKUP(I35,categorieen!$D:$E,2,0),"")</f>
        <v>Eindigt op el</v>
      </c>
      <c r="T35" s="9" t="str">
        <f aca="false">IFERROR(VLOOKUP(J35,categorieen!$D:$E,2,0),"")</f>
        <v/>
      </c>
    </row>
    <row r="36" customFormat="false" ht="15" hidden="false" customHeight="false" outlineLevel="0" collapsed="false">
      <c r="A36" s="9" t="s">
        <v>57</v>
      </c>
      <c r="B36" s="11" t="s">
        <v>58</v>
      </c>
      <c r="C36" s="9" t="n">
        <v>2</v>
      </c>
      <c r="D36" s="9" t="n">
        <v>33</v>
      </c>
      <c r="E36" s="9" t="n">
        <v>21</v>
      </c>
      <c r="F36" s="9" t="n">
        <v>26</v>
      </c>
      <c r="G36" s="9" t="n">
        <v>22</v>
      </c>
      <c r="H36" s="9"/>
      <c r="I36" s="9"/>
      <c r="J36" s="9"/>
      <c r="K36" s="9"/>
      <c r="L36" s="9"/>
      <c r="M36" s="9" t="str">
        <f aca="false">IFERROR(VLOOKUP(C36,categorieen!$D:$E,2,0),"")</f>
        <v>(stand)beeld / (Rijks)monument</v>
      </c>
      <c r="N36" s="9" t="str">
        <f aca="false">IFERROR(VLOOKUP(D36,categorieen!$D:$E,2,0),"")</f>
        <v>076 (Breda)</v>
      </c>
      <c r="O36" s="9" t="str">
        <f aca="false">IFERROR(VLOOKUP(E36,categorieen!$D:$E,2,0),"")</f>
        <v>West Brabant</v>
      </c>
      <c r="P36" s="9" t="str">
        <f aca="false">IFERROR(VLOOKUP(F36,categorieen!$D:$E,2,0),"")</f>
        <v>Eindigt op el</v>
      </c>
      <c r="Q36" s="9" t="str">
        <f aca="false">IFERROR(VLOOKUP(G36,categorieen!$D:$E,2,0),"")</f>
        <v>3x dezelfde letter</v>
      </c>
      <c r="R36" s="9" t="str">
        <f aca="false">IFERROR(VLOOKUP(H36,categorieen!$D:$E,2,0),"")</f>
        <v/>
      </c>
      <c r="S36" s="9" t="str">
        <f aca="false">IFERROR(VLOOKUP(I36,categorieen!$D:$E,2,0),"")</f>
        <v/>
      </c>
      <c r="T36" s="9" t="str">
        <f aca="false">IFERROR(VLOOKUP(J36,categorieen!$D:$E,2,0),"")</f>
        <v/>
      </c>
    </row>
    <row r="37" customFormat="false" ht="15" hidden="false" customHeight="false" outlineLevel="0" collapsed="false">
      <c r="A37" s="9" t="s">
        <v>59</v>
      </c>
      <c r="B37" s="11"/>
      <c r="C37" s="9" t="n">
        <v>22</v>
      </c>
      <c r="D37" s="9" t="n">
        <v>34</v>
      </c>
      <c r="E37" s="9" t="n">
        <v>2</v>
      </c>
      <c r="F37" s="9"/>
      <c r="G37" s="9"/>
      <c r="H37" s="9"/>
      <c r="I37" s="9"/>
      <c r="J37" s="9"/>
      <c r="K37" s="9"/>
      <c r="L37" s="9"/>
      <c r="M37" s="9" t="str">
        <f aca="false">IFERROR(VLOOKUP(C37,categorieen!$D:$E,2,0),"")</f>
        <v>3x dezelfde letter</v>
      </c>
      <c r="N37" s="9" t="str">
        <f aca="false">IFERROR(VLOOKUP(D37,categorieen!$D:$E,2,0),"")</f>
        <v>Met 4 Wieken</v>
      </c>
      <c r="O37" s="9" t="str">
        <f aca="false">IFERROR(VLOOKUP(E37,categorieen!$D:$E,2,0),"")</f>
        <v>(stand)beeld / (Rijks)monument</v>
      </c>
      <c r="P37" s="9" t="str">
        <f aca="false">IFERROR(VLOOKUP(F37,categorieen!$D:$E,2,0),"")</f>
        <v/>
      </c>
      <c r="Q37" s="9" t="str">
        <f aca="false">IFERROR(VLOOKUP(G37,categorieen!$D:$E,2,0),"")</f>
        <v/>
      </c>
      <c r="R37" s="9" t="str">
        <f aca="false">IFERROR(VLOOKUP(H37,categorieen!$D:$E,2,0),"")</f>
        <v/>
      </c>
      <c r="S37" s="9" t="str">
        <f aca="false">IFERROR(VLOOKUP(I37,categorieen!$D:$E,2,0),"")</f>
        <v/>
      </c>
      <c r="T37" s="9" t="str">
        <f aca="false">IFERROR(VLOOKUP(J37,categorieen!$D:$E,2,0),"")</f>
        <v/>
      </c>
    </row>
    <row r="38" customFormat="false" ht="15" hidden="false" customHeight="false" outlineLevel="0" collapsed="false">
      <c r="A38" s="9" t="s">
        <v>60</v>
      </c>
      <c r="B38" s="11"/>
      <c r="C38" s="9" t="n">
        <v>4</v>
      </c>
      <c r="D38" s="9" t="n">
        <v>5</v>
      </c>
      <c r="E38" s="9" t="n">
        <v>30</v>
      </c>
      <c r="F38" s="9" t="n">
        <v>2</v>
      </c>
      <c r="G38" s="9" t="n">
        <v>7</v>
      </c>
      <c r="H38" s="9"/>
      <c r="I38" s="9"/>
      <c r="J38" s="9"/>
      <c r="K38" s="9"/>
      <c r="L38" s="9"/>
      <c r="M38" s="9" t="str">
        <f aca="false">IFERROR(VLOOKUP(C38,categorieen!$D:$E,2,0),"")</f>
        <v>Zes letters</v>
      </c>
      <c r="N38" s="9" t="str">
        <f aca="false">IFERROR(VLOOKUP(D38,categorieen!$D:$E,2,0),"")</f>
        <v>Bekende Brabanders</v>
      </c>
      <c r="O38" s="9" t="str">
        <f aca="false">IFERROR(VLOOKUP(E38,categorieen!$D:$E,2,0),"")</f>
        <v>In de volksmond (IDV)</v>
      </c>
      <c r="P38" s="9" t="str">
        <f aca="false">IFERROR(VLOOKUP(F38,categorieen!$D:$E,2,0),"")</f>
        <v>(stand)beeld / (Rijks)monument</v>
      </c>
      <c r="Q38" s="9" t="str">
        <f aca="false">IFERROR(VLOOKUP(G38,categorieen!$D:$E,2,0),"")</f>
        <v>Alaaf</v>
      </c>
      <c r="R38" s="9" t="str">
        <f aca="false">IFERROR(VLOOKUP(H38,categorieen!$D:$E,2,0),"")</f>
        <v/>
      </c>
      <c r="S38" s="9" t="str">
        <f aca="false">IFERROR(VLOOKUP(I38,categorieen!$D:$E,2,0),"")</f>
        <v/>
      </c>
      <c r="T38" s="9" t="str">
        <f aca="false">IFERROR(VLOOKUP(J38,categorieen!$D:$E,2,0),"")</f>
        <v/>
      </c>
    </row>
    <row r="39" customFormat="false" ht="15" hidden="false" customHeight="false" outlineLevel="0" collapsed="false">
      <c r="A39" s="9" t="s">
        <v>61</v>
      </c>
      <c r="B39" s="11" t="s">
        <v>212</v>
      </c>
      <c r="C39" s="9" t="n">
        <v>39</v>
      </c>
      <c r="D39" s="9" t="n">
        <v>22</v>
      </c>
      <c r="E39" s="9" t="n">
        <v>34</v>
      </c>
      <c r="F39" s="9" t="n">
        <v>42</v>
      </c>
      <c r="G39" s="9"/>
      <c r="H39" s="9"/>
      <c r="I39" s="9"/>
      <c r="J39" s="9"/>
      <c r="K39" s="9"/>
      <c r="L39" s="9"/>
      <c r="M39" s="9" t="str">
        <f aca="false">IFERROR(VLOOKUP(C39,categorieen!$D:$E,2,0),"")</f>
        <v>Theater</v>
      </c>
      <c r="N39" s="9" t="str">
        <f aca="false">IFERROR(VLOOKUP(D39,categorieen!$D:$E,2,0),"")</f>
        <v>3x dezelfde letter</v>
      </c>
      <c r="O39" s="9" t="str">
        <f aca="false">IFERROR(VLOOKUP(E39,categorieen!$D:$E,2,0),"")</f>
        <v>Met 4 Wieken</v>
      </c>
      <c r="P39" s="9" t="str">
        <f aca="false">IFERROR(VLOOKUP(F39,categorieen!$D:$E,2,0),"")</f>
        <v>7 letters</v>
      </c>
      <c r="Q39" s="9" t="str">
        <f aca="false">IFERROR(VLOOKUP(G39,categorieen!$D:$E,2,0),"")</f>
        <v/>
      </c>
      <c r="R39" s="9" t="str">
        <f aca="false">IFERROR(VLOOKUP(H39,categorieen!$D:$E,2,0),"")</f>
        <v/>
      </c>
      <c r="S39" s="9" t="str">
        <f aca="false">IFERROR(VLOOKUP(I39,categorieen!$D:$E,2,0),"")</f>
        <v/>
      </c>
      <c r="T39" s="9" t="str">
        <f aca="false">IFERROR(VLOOKUP(J39,categorieen!$D:$E,2,0),"")</f>
        <v/>
      </c>
    </row>
    <row r="40" customFormat="false" ht="15" hidden="false" customHeight="false" outlineLevel="0" collapsed="false">
      <c r="A40" s="14" t="s">
        <v>63</v>
      </c>
      <c r="B40" s="16" t="s">
        <v>64</v>
      </c>
      <c r="C40" s="10" t="n">
        <v>4</v>
      </c>
      <c r="D40" s="10" t="n">
        <v>9</v>
      </c>
      <c r="E40" s="9"/>
      <c r="F40" s="9"/>
      <c r="G40" s="9"/>
      <c r="H40" s="9"/>
      <c r="I40" s="9"/>
      <c r="J40" s="9"/>
      <c r="K40" s="9"/>
      <c r="L40" s="9"/>
      <c r="M40" s="9" t="str">
        <f aca="false">IFERROR(VLOOKUP(C40,categorieen!$D:$E,2,0),"")</f>
        <v>Zes letters</v>
      </c>
      <c r="N40" s="9" t="str">
        <f aca="false">IFERROR(VLOOKUP(D40,categorieen!$D:$E,2,0),"")</f>
        <v>Kiosk</v>
      </c>
      <c r="O40" s="9" t="str">
        <f aca="false">IFERROR(VLOOKUP(E40,categorieen!$D:$E,2,0),"")</f>
        <v/>
      </c>
      <c r="P40" s="9" t="str">
        <f aca="false">IFERROR(VLOOKUP(F40,categorieen!$D:$E,2,0),"")</f>
        <v/>
      </c>
      <c r="Q40" s="9" t="str">
        <f aca="false">IFERROR(VLOOKUP(G40,categorieen!$D:$E,2,0),"")</f>
        <v/>
      </c>
      <c r="R40" s="9" t="str">
        <f aca="false">IFERROR(VLOOKUP(H40,categorieen!$D:$E,2,0),"")</f>
        <v/>
      </c>
      <c r="S40" s="9" t="str">
        <f aca="false">IFERROR(VLOOKUP(I40,categorieen!$D:$E,2,0),"")</f>
        <v/>
      </c>
      <c r="T40" s="9" t="str">
        <f aca="false">IFERROR(VLOOKUP(J40,categorieen!$D:$E,2,0),"")</f>
        <v/>
      </c>
    </row>
    <row r="41" customFormat="false" ht="15" hidden="false" customHeight="false" outlineLevel="0" collapsed="false">
      <c r="A41" s="9" t="s">
        <v>65</v>
      </c>
      <c r="B41" s="11"/>
      <c r="C41" s="9" t="n">
        <v>33</v>
      </c>
      <c r="D41" s="9" t="n">
        <v>21</v>
      </c>
      <c r="E41" s="9" t="n">
        <v>19</v>
      </c>
      <c r="F41" s="9" t="n">
        <v>40</v>
      </c>
      <c r="G41" s="9" t="n">
        <v>31</v>
      </c>
      <c r="H41" s="9" t="n">
        <v>35</v>
      </c>
      <c r="I41" s="9"/>
      <c r="J41" s="9"/>
      <c r="K41" s="9"/>
      <c r="L41" s="9"/>
      <c r="M41" s="9" t="str">
        <f aca="false">IFERROR(VLOOKUP(C41,categorieen!$D:$E,2,0),"")</f>
        <v>076 (Breda)</v>
      </c>
      <c r="N41" s="9" t="str">
        <f aca="false">IFERROR(VLOOKUP(D41,categorieen!$D:$E,2,0),"")</f>
        <v>West Brabant</v>
      </c>
      <c r="O41" s="9" t="str">
        <f aca="false">IFERROR(VLOOKUP(E41,categorieen!$D:$E,2,0),"")</f>
        <v>Natuur</v>
      </c>
      <c r="P41" s="9" t="str">
        <f aca="false">IFERROR(VLOOKUP(F41,categorieen!$D:$E,2,0),"")</f>
        <v>Typisch Brabants (TB)</v>
      </c>
      <c r="Q41" s="9" t="str">
        <f aca="false">IFERROR(VLOOKUP(G41,categorieen!$D:$E,2,0),"")</f>
        <v>Kleurrijk</v>
      </c>
      <c r="R41" s="9" t="str">
        <f aca="false">IFERROR(VLOOKUP(H41,categorieen!$D:$E,2,0),"")</f>
        <v>Parel in het Groen (PITG)</v>
      </c>
      <c r="S41" s="9" t="str">
        <f aca="false">IFERROR(VLOOKUP(I41,categorieen!$D:$E,2,0),"")</f>
        <v/>
      </c>
      <c r="T41" s="9" t="str">
        <f aca="false">IFERROR(VLOOKUP(J41,categorieen!$D:$E,2,0),"")</f>
        <v/>
      </c>
    </row>
    <row r="42" customFormat="false" ht="15" hidden="false" customHeight="false" outlineLevel="0" collapsed="false">
      <c r="A42" s="9" t="s">
        <v>66</v>
      </c>
      <c r="B42" s="11"/>
      <c r="C42" s="9" t="n">
        <v>16</v>
      </c>
      <c r="D42" s="9" t="n">
        <v>34</v>
      </c>
      <c r="E42" s="9" t="n">
        <v>21</v>
      </c>
      <c r="F42" s="9" t="n">
        <v>43</v>
      </c>
      <c r="G42" s="9" t="n">
        <v>27</v>
      </c>
      <c r="H42" s="9"/>
      <c r="I42" s="9"/>
      <c r="J42" s="9"/>
      <c r="K42" s="9"/>
      <c r="L42" s="9"/>
      <c r="M42" s="9" t="str">
        <f aca="false">IFERROR(VLOOKUP(C42,categorieen!$D:$E,2,0),"")</f>
        <v>Buurtschap</v>
      </c>
      <c r="N42" s="9" t="str">
        <f aca="false">IFERROR(VLOOKUP(D42,categorieen!$D:$E,2,0),"")</f>
        <v>Met 4 Wieken</v>
      </c>
      <c r="O42" s="9" t="str">
        <f aca="false">IFERROR(VLOOKUP(E42,categorieen!$D:$E,2,0),"")</f>
        <v>West Brabant</v>
      </c>
      <c r="P42" s="9" t="str">
        <f aca="false">IFERROR(VLOOKUP(F42,categorieen!$D:$E,2,0),"")</f>
        <v>Dierlijk</v>
      </c>
      <c r="Q42" s="9" t="str">
        <f aca="false">IFERROR(VLOOKUP(G42,categorieen!$D:$E,2,0),"")</f>
        <v>Eten en Drinken (ED)</v>
      </c>
      <c r="R42" s="9" t="str">
        <f aca="false">IFERROR(VLOOKUP(H42,categorieen!$D:$E,2,0),"")</f>
        <v/>
      </c>
      <c r="S42" s="9" t="str">
        <f aca="false">IFERROR(VLOOKUP(I42,categorieen!$D:$E,2,0),"")</f>
        <v/>
      </c>
      <c r="T42" s="9" t="str">
        <f aca="false">IFERROR(VLOOKUP(J42,categorieen!$D:$E,2,0),"")</f>
        <v/>
      </c>
    </row>
    <row r="43" customFormat="false" ht="15" hidden="false" customHeight="false" outlineLevel="0" collapsed="false">
      <c r="A43" s="9" t="s">
        <v>67</v>
      </c>
      <c r="B43" s="11"/>
      <c r="C43" s="9" t="n">
        <v>15</v>
      </c>
      <c r="D43" s="9" t="n">
        <v>34</v>
      </c>
      <c r="E43" s="9" t="n">
        <v>21</v>
      </c>
      <c r="F43" s="9"/>
      <c r="G43" s="9"/>
      <c r="H43" s="9"/>
      <c r="I43" s="9"/>
      <c r="J43" s="9"/>
      <c r="K43" s="9"/>
      <c r="L43" s="9"/>
      <c r="M43" s="9" t="str">
        <f aca="false">IFERROR(VLOOKUP(C43,categorieen!$D:$E,2,0),"")</f>
        <v>Getal/Cijfer</v>
      </c>
      <c r="N43" s="9" t="str">
        <f aca="false">IFERROR(VLOOKUP(D43,categorieen!$D:$E,2,0),"")</f>
        <v>Met 4 Wieken</v>
      </c>
      <c r="O43" s="9" t="str">
        <f aca="false">IFERROR(VLOOKUP(E43,categorieen!$D:$E,2,0),"")</f>
        <v>West Brabant</v>
      </c>
      <c r="P43" s="9" t="str">
        <f aca="false">IFERROR(VLOOKUP(F43,categorieen!$D:$E,2,0),"")</f>
        <v/>
      </c>
      <c r="Q43" s="9" t="str">
        <f aca="false">IFERROR(VLOOKUP(G43,categorieen!$D:$E,2,0),"")</f>
        <v/>
      </c>
      <c r="R43" s="9" t="str">
        <f aca="false">IFERROR(VLOOKUP(H43,categorieen!$D:$E,2,0),"")</f>
        <v/>
      </c>
      <c r="S43" s="9" t="str">
        <f aca="false">IFERROR(VLOOKUP(I43,categorieen!$D:$E,2,0),"")</f>
        <v/>
      </c>
      <c r="T43" s="9" t="str">
        <f aca="false">IFERROR(VLOOKUP(J43,categorieen!$D:$E,2,0),"")</f>
        <v/>
      </c>
    </row>
    <row r="44" customFormat="false" ht="15" hidden="false" customHeight="false" outlineLevel="0" collapsed="false">
      <c r="A44" s="9" t="s">
        <v>68</v>
      </c>
      <c r="B44" s="11" t="s">
        <v>69</v>
      </c>
      <c r="C44" s="9" t="n">
        <v>7</v>
      </c>
      <c r="D44" s="9" t="n">
        <v>37</v>
      </c>
      <c r="E44" s="9" t="n">
        <v>15</v>
      </c>
      <c r="F44" s="9" t="n">
        <v>5</v>
      </c>
      <c r="G44" s="9" t="n">
        <v>31</v>
      </c>
      <c r="H44" s="9"/>
      <c r="I44" s="9"/>
      <c r="J44" s="9"/>
      <c r="K44" s="9"/>
      <c r="L44" s="9"/>
      <c r="M44" s="9" t="str">
        <f aca="false">IFERROR(VLOOKUP(C44,categorieen!$D:$E,2,0),"")</f>
        <v>Alaaf</v>
      </c>
      <c r="N44" s="9" t="str">
        <f aca="false">IFERROR(VLOOKUP(D44,categorieen!$D:$E,2,0),"")</f>
        <v>s Hertogenbosch (DB)</v>
      </c>
      <c r="O44" s="9" t="str">
        <f aca="false">IFERROR(VLOOKUP(E44,categorieen!$D:$E,2,0),"")</f>
        <v>Getal/Cijfer</v>
      </c>
      <c r="P44" s="9" t="str">
        <f aca="false">IFERROR(VLOOKUP(F44,categorieen!$D:$E,2,0),"")</f>
        <v>Bekende Brabanders</v>
      </c>
      <c r="Q44" s="9" t="str">
        <f aca="false">IFERROR(VLOOKUP(G44,categorieen!$D:$E,2,0),"")</f>
        <v>Kleurrijk</v>
      </c>
      <c r="R44" s="9" t="str">
        <f aca="false">IFERROR(VLOOKUP(H44,categorieen!$D:$E,2,0),"")</f>
        <v/>
      </c>
      <c r="S44" s="9" t="str">
        <f aca="false">IFERROR(VLOOKUP(I44,categorieen!$D:$E,2,0),"")</f>
        <v/>
      </c>
      <c r="T44" s="9" t="str">
        <f aca="false">IFERROR(VLOOKUP(J44,categorieen!$D:$E,2,0),"")</f>
        <v/>
      </c>
    </row>
    <row r="45" customFormat="false" ht="15" hidden="false" customHeight="false" outlineLevel="0" collapsed="false">
      <c r="A45" s="9" t="s">
        <v>70</v>
      </c>
      <c r="B45" s="11"/>
      <c r="C45" s="9" t="n">
        <v>29</v>
      </c>
      <c r="D45" s="9" t="n">
        <v>36</v>
      </c>
      <c r="E45" s="9" t="n">
        <v>9</v>
      </c>
      <c r="F45" s="9"/>
      <c r="G45" s="9"/>
      <c r="H45" s="9"/>
      <c r="I45" s="9"/>
      <c r="J45" s="9"/>
      <c r="K45" s="9"/>
      <c r="L45" s="9"/>
      <c r="M45" s="9" t="str">
        <f aca="false">IFERROR(VLOOKUP(C45,categorieen!$D:$E,2,0),"")</f>
        <v>Hilvarenbeek</v>
      </c>
      <c r="N45" s="9" t="str">
        <f aca="false">IFERROR(VLOOKUP(D45,categorieen!$D:$E,2,0),"")</f>
        <v>Plein</v>
      </c>
      <c r="O45" s="9" t="str">
        <f aca="false">IFERROR(VLOOKUP(E45,categorieen!$D:$E,2,0),"")</f>
        <v>Kiosk</v>
      </c>
      <c r="P45" s="9" t="str">
        <f aca="false">IFERROR(VLOOKUP(F45,categorieen!$D:$E,2,0),"")</f>
        <v/>
      </c>
      <c r="Q45" s="9" t="str">
        <f aca="false">IFERROR(VLOOKUP(G45,categorieen!$D:$E,2,0),"")</f>
        <v/>
      </c>
      <c r="R45" s="9" t="str">
        <f aca="false">IFERROR(VLOOKUP(H45,categorieen!$D:$E,2,0),"")</f>
        <v/>
      </c>
      <c r="S45" s="9" t="str">
        <f aca="false">IFERROR(VLOOKUP(I45,categorieen!$D:$E,2,0),"")</f>
        <v/>
      </c>
      <c r="T45" s="9" t="str">
        <f aca="false">IFERROR(VLOOKUP(J45,categorieen!$D:$E,2,0),"")</f>
        <v/>
      </c>
    </row>
    <row r="46" customFormat="false" ht="15" hidden="false" customHeight="false" outlineLevel="0" collapsed="false">
      <c r="A46" s="9" t="s">
        <v>71</v>
      </c>
      <c r="B46" s="11"/>
      <c r="C46" s="9" t="n">
        <v>7</v>
      </c>
      <c r="D46" s="9" t="n">
        <v>35</v>
      </c>
      <c r="E46" s="9" t="n">
        <v>22</v>
      </c>
      <c r="F46" s="9" t="n">
        <v>13</v>
      </c>
      <c r="G46" s="9" t="n">
        <v>34</v>
      </c>
      <c r="H46" s="9"/>
      <c r="I46" s="9"/>
      <c r="J46" s="9"/>
      <c r="K46" s="9"/>
      <c r="L46" s="9"/>
      <c r="M46" s="9" t="str">
        <f aca="false">IFERROR(VLOOKUP(C46,categorieen!$D:$E,2,0),"")</f>
        <v>Alaaf</v>
      </c>
      <c r="N46" s="9" t="str">
        <f aca="false">IFERROR(VLOOKUP(D46,categorieen!$D:$E,2,0),"")</f>
        <v>Parel in het Groen (PITG)</v>
      </c>
      <c r="O46" s="9" t="str">
        <f aca="false">IFERROR(VLOOKUP(E46,categorieen!$D:$E,2,0),"")</f>
        <v>3x dezelfde letter</v>
      </c>
      <c r="P46" s="9" t="str">
        <f aca="false">IFERROR(VLOOKUP(F46,categorieen!$D:$E,2,0),"")</f>
        <v>Met dubbel T</v>
      </c>
      <c r="Q46" s="9" t="str">
        <f aca="false">IFERROR(VLOOKUP(G46,categorieen!$D:$E,2,0),"")</f>
        <v>Met 4 Wieken</v>
      </c>
      <c r="R46" s="9" t="str">
        <f aca="false">IFERROR(VLOOKUP(H46,categorieen!$D:$E,2,0),"")</f>
        <v/>
      </c>
      <c r="S46" s="9" t="str">
        <f aca="false">IFERROR(VLOOKUP(I46,categorieen!$D:$E,2,0),"")</f>
        <v/>
      </c>
      <c r="T46" s="9" t="str">
        <f aca="false">IFERROR(VLOOKUP(J46,categorieen!$D:$E,2,0),"")</f>
        <v/>
      </c>
    </row>
    <row r="47" customFormat="false" ht="15" hidden="false" customHeight="false" outlineLevel="0" collapsed="false">
      <c r="A47" s="9" t="s">
        <v>72</v>
      </c>
      <c r="B47" s="11"/>
      <c r="C47" s="9" t="n">
        <v>15</v>
      </c>
      <c r="D47" s="9" t="n">
        <v>27</v>
      </c>
      <c r="E47" s="9" t="n">
        <v>2</v>
      </c>
      <c r="F47" s="9" t="n">
        <v>34</v>
      </c>
      <c r="G47" s="9"/>
      <c r="H47" s="9"/>
      <c r="I47" s="9"/>
      <c r="J47" s="9"/>
      <c r="K47" s="9"/>
      <c r="L47" s="9"/>
      <c r="M47" s="9" t="str">
        <f aca="false">IFERROR(VLOOKUP(C47,categorieen!$D:$E,2,0),"")</f>
        <v>Getal/Cijfer</v>
      </c>
      <c r="N47" s="9" t="str">
        <f aca="false">IFERROR(VLOOKUP(D47,categorieen!$D:$E,2,0),"")</f>
        <v>Eten en Drinken (ED)</v>
      </c>
      <c r="O47" s="9" t="str">
        <f aca="false">IFERROR(VLOOKUP(E47,categorieen!$D:$E,2,0),"")</f>
        <v>(stand)beeld / (Rijks)monument</v>
      </c>
      <c r="P47" s="9" t="str">
        <f aca="false">IFERROR(VLOOKUP(F47,categorieen!$D:$E,2,0),"")</f>
        <v>Met 4 Wieken</v>
      </c>
      <c r="Q47" s="9" t="str">
        <f aca="false">IFERROR(VLOOKUP(G47,categorieen!$D:$E,2,0),"")</f>
        <v/>
      </c>
      <c r="R47" s="9" t="str">
        <f aca="false">IFERROR(VLOOKUP(H47,categorieen!$D:$E,2,0),"")</f>
        <v/>
      </c>
      <c r="S47" s="9" t="str">
        <f aca="false">IFERROR(VLOOKUP(I47,categorieen!$D:$E,2,0),"")</f>
        <v/>
      </c>
      <c r="T47" s="9" t="str">
        <f aca="false">IFERROR(VLOOKUP(J47,categorieen!$D:$E,2,0),"")</f>
        <v/>
      </c>
    </row>
    <row r="48" customFormat="false" ht="15" hidden="false" customHeight="false" outlineLevel="0" collapsed="false">
      <c r="A48" s="10" t="s">
        <v>73</v>
      </c>
      <c r="B48" s="11"/>
      <c r="C48" s="9" t="n">
        <v>29</v>
      </c>
      <c r="D48" s="9" t="n">
        <v>42</v>
      </c>
      <c r="E48" s="9" t="n">
        <v>17</v>
      </c>
      <c r="F48" s="9" t="n">
        <v>32</v>
      </c>
      <c r="G48" s="9" t="n">
        <v>18</v>
      </c>
      <c r="H48" s="9"/>
      <c r="I48" s="9"/>
      <c r="J48" s="9"/>
      <c r="K48" s="9"/>
      <c r="L48" s="9"/>
      <c r="M48" s="9" t="str">
        <f aca="false">IFERROR(VLOOKUP(C48,categorieen!$D:$E,2,0),"")</f>
        <v>Hilvarenbeek</v>
      </c>
      <c r="N48" s="9" t="str">
        <f aca="false">IFERROR(VLOOKUP(D48,categorieen!$D:$E,2,0),"")</f>
        <v>7 letters</v>
      </c>
      <c r="O48" s="9" t="str">
        <f aca="false">IFERROR(VLOOKUP(E48,categorieen!$D:$E,2,0),"")</f>
        <v>Met dubbel s</v>
      </c>
      <c r="P48" s="9" t="str">
        <f aca="false">IFERROR(VLOOKUP(F48,categorieen!$D:$E,2,0),"")</f>
        <v>Met ie</v>
      </c>
      <c r="Q48" s="9" t="str">
        <f aca="false">IFERROR(VLOOKUP(G48,categorieen!$D:$E,2,0),"")</f>
        <v>Willem II</v>
      </c>
      <c r="R48" s="9" t="str">
        <f aca="false">IFERROR(VLOOKUP(H48,categorieen!$D:$E,2,0),"")</f>
        <v/>
      </c>
      <c r="S48" s="9" t="str">
        <f aca="false">IFERROR(VLOOKUP(I48,categorieen!$D:$E,2,0),"")</f>
        <v/>
      </c>
      <c r="T48" s="9" t="str">
        <f aca="false">IFERROR(VLOOKUP(J48,categorieen!$D:$E,2,0),"")</f>
        <v/>
      </c>
    </row>
    <row r="49" customFormat="false" ht="15" hidden="false" customHeight="false" outlineLevel="0" collapsed="false">
      <c r="A49" s="14" t="s">
        <v>74</v>
      </c>
      <c r="B49" s="11" t="s">
        <v>233</v>
      </c>
      <c r="C49" s="9" t="n">
        <v>5</v>
      </c>
      <c r="D49" s="9" t="n">
        <v>38</v>
      </c>
      <c r="E49" s="9" t="n">
        <v>11</v>
      </c>
      <c r="F49" s="9" t="n">
        <v>42</v>
      </c>
      <c r="G49" s="9" t="n">
        <v>31</v>
      </c>
      <c r="H49" s="9" t="n">
        <v>18</v>
      </c>
      <c r="I49" s="9" t="n">
        <v>28</v>
      </c>
      <c r="J49" s="9"/>
      <c r="K49" s="9"/>
      <c r="L49" s="9"/>
      <c r="M49" s="9" t="str">
        <f aca="false">IFERROR(VLOOKUP(C49,categorieen!$D:$E,2,0),"")</f>
        <v>Bekende Brabanders</v>
      </c>
      <c r="N49" s="9" t="str">
        <f aca="false">IFERROR(VLOOKUP(D49,categorieen!$D:$E,2,0),"")</f>
        <v>Sport</v>
      </c>
      <c r="O49" s="9" t="str">
        <f aca="false">IFERROR(VLOOKUP(E49,categorieen!$D:$E,2,0),"")</f>
        <v>Tilburg</v>
      </c>
      <c r="P49" s="9" t="str">
        <f aca="false">IFERROR(VLOOKUP(F49,categorieen!$D:$E,2,0),"")</f>
        <v>7 letters</v>
      </c>
      <c r="Q49" s="9" t="str">
        <f aca="false">IFERROR(VLOOKUP(G49,categorieen!$D:$E,2,0),"")</f>
        <v>Kleurrijk</v>
      </c>
      <c r="R49" s="9" t="str">
        <f aca="false">IFERROR(VLOOKUP(H49,categorieen!$D:$E,2,0),"")</f>
        <v>Willem II</v>
      </c>
      <c r="S49" s="9" t="str">
        <f aca="false">IFERROR(VLOOKUP(I49,categorieen!$D:$E,2,0),"")</f>
        <v>Heilige</v>
      </c>
      <c r="T49" s="9" t="str">
        <f aca="false">IFERROR(VLOOKUP(J49,categorieen!$D:$E,2,0),"")</f>
        <v/>
      </c>
    </row>
    <row r="50" customFormat="false" ht="15" hidden="false" customHeight="false" outlineLevel="0" collapsed="false">
      <c r="A50" s="9" t="s">
        <v>75</v>
      </c>
      <c r="B50" s="11" t="s">
        <v>76</v>
      </c>
      <c r="C50" s="9" t="n">
        <v>37</v>
      </c>
      <c r="D50" s="9" t="n">
        <v>2</v>
      </c>
      <c r="E50" s="9" t="n">
        <v>43</v>
      </c>
      <c r="F50" s="9" t="n">
        <v>22</v>
      </c>
      <c r="G50" s="9"/>
      <c r="H50" s="9"/>
      <c r="I50" s="9"/>
      <c r="J50" s="9"/>
      <c r="K50" s="9"/>
      <c r="L50" s="9"/>
      <c r="M50" s="9" t="str">
        <f aca="false">IFERROR(VLOOKUP(C50,categorieen!$D:$E,2,0),"")</f>
        <v>s Hertogenbosch (DB)</v>
      </c>
      <c r="N50" s="9" t="str">
        <f aca="false">IFERROR(VLOOKUP(D50,categorieen!$D:$E,2,0),"")</f>
        <v>(stand)beeld / (Rijks)monument</v>
      </c>
      <c r="O50" s="9" t="str">
        <f aca="false">IFERROR(VLOOKUP(E50,categorieen!$D:$E,2,0),"")</f>
        <v>Dierlijk</v>
      </c>
      <c r="P50" s="9" t="str">
        <f aca="false">IFERROR(VLOOKUP(F50,categorieen!$D:$E,2,0),"")</f>
        <v>3x dezelfde letter</v>
      </c>
      <c r="Q50" s="9" t="str">
        <f aca="false">IFERROR(VLOOKUP(G50,categorieen!$D:$E,2,0),"")</f>
        <v/>
      </c>
      <c r="R50" s="9" t="str">
        <f aca="false">IFERROR(VLOOKUP(H50,categorieen!$D:$E,2,0),"")</f>
        <v/>
      </c>
      <c r="S50" s="9" t="str">
        <f aca="false">IFERROR(VLOOKUP(I50,categorieen!$D:$E,2,0),"")</f>
        <v/>
      </c>
      <c r="T50" s="9" t="str">
        <f aca="false">IFERROR(VLOOKUP(J50,categorieen!$D:$E,2,0),"")</f>
        <v/>
      </c>
    </row>
    <row r="51" customFormat="false" ht="15" hidden="false" customHeight="false" outlineLevel="0" collapsed="false">
      <c r="A51" s="9" t="s">
        <v>77</v>
      </c>
      <c r="B51" s="11"/>
      <c r="C51" s="9" t="n">
        <v>25</v>
      </c>
      <c r="D51" s="9" t="n">
        <v>26</v>
      </c>
      <c r="E51" s="9" t="n">
        <v>4</v>
      </c>
      <c r="F51" s="9" t="n">
        <v>9</v>
      </c>
      <c r="G51" s="9"/>
      <c r="H51" s="9"/>
      <c r="I51" s="9"/>
      <c r="J51" s="9"/>
      <c r="K51" s="9"/>
      <c r="L51" s="9"/>
      <c r="M51" s="9" t="str">
        <f aca="false">IFERROR(VLOOKUP(C51,categorieen!$D:$E,2,0),"")</f>
        <v>1 van de 8</v>
      </c>
      <c r="N51" s="9" t="str">
        <f aca="false">IFERROR(VLOOKUP(D51,categorieen!$D:$E,2,0),"")</f>
        <v>Eindigt op el</v>
      </c>
      <c r="O51" s="9" t="str">
        <f aca="false">IFERROR(VLOOKUP(E51,categorieen!$D:$E,2,0),"")</f>
        <v>Zes letters</v>
      </c>
      <c r="P51" s="9" t="str">
        <f aca="false">IFERROR(VLOOKUP(F51,categorieen!$D:$E,2,0),"")</f>
        <v>Kiosk</v>
      </c>
      <c r="Q51" s="9" t="str">
        <f aca="false">IFERROR(VLOOKUP(G51,categorieen!$D:$E,2,0),"")</f>
        <v/>
      </c>
      <c r="R51" s="9" t="str">
        <f aca="false">IFERROR(VLOOKUP(H51,categorieen!$D:$E,2,0),"")</f>
        <v/>
      </c>
      <c r="S51" s="9" t="str">
        <f aca="false">IFERROR(VLOOKUP(I51,categorieen!$D:$E,2,0),"")</f>
        <v/>
      </c>
      <c r="T51" s="9" t="str">
        <f aca="false">IFERROR(VLOOKUP(J51,categorieen!$D:$E,2,0),"")</f>
        <v/>
      </c>
    </row>
    <row r="52" customFormat="false" ht="15" hidden="false" customHeight="false" outlineLevel="0" collapsed="false">
      <c r="A52" s="9" t="s">
        <v>78</v>
      </c>
      <c r="B52" s="11"/>
      <c r="C52" s="9" t="n">
        <v>25</v>
      </c>
      <c r="D52" s="9" t="n">
        <v>4</v>
      </c>
      <c r="E52" s="9" t="n">
        <v>22</v>
      </c>
      <c r="F52" s="9" t="n">
        <v>26</v>
      </c>
      <c r="G52" s="9" t="n">
        <v>9</v>
      </c>
      <c r="H52" s="9"/>
      <c r="I52" s="9"/>
      <c r="J52" s="9"/>
      <c r="K52" s="9"/>
      <c r="L52" s="9"/>
      <c r="M52" s="9" t="str">
        <f aca="false">IFERROR(VLOOKUP(C52,categorieen!$D:$E,2,0),"")</f>
        <v>1 van de 8</v>
      </c>
      <c r="N52" s="9" t="str">
        <f aca="false">IFERROR(VLOOKUP(D52,categorieen!$D:$E,2,0),"")</f>
        <v>Zes letters</v>
      </c>
      <c r="O52" s="9" t="str">
        <f aca="false">IFERROR(VLOOKUP(E52,categorieen!$D:$E,2,0),"")</f>
        <v>3x dezelfde letter</v>
      </c>
      <c r="P52" s="9" t="str">
        <f aca="false">IFERROR(VLOOKUP(F52,categorieen!$D:$E,2,0),"")</f>
        <v>Eindigt op el</v>
      </c>
      <c r="Q52" s="9" t="str">
        <f aca="false">IFERROR(VLOOKUP(G52,categorieen!$D:$E,2,0),"")</f>
        <v>Kiosk</v>
      </c>
      <c r="R52" s="9" t="str">
        <f aca="false">IFERROR(VLOOKUP(H52,categorieen!$D:$E,2,0),"")</f>
        <v/>
      </c>
      <c r="S52" s="9" t="str">
        <f aca="false">IFERROR(VLOOKUP(I52,categorieen!$D:$E,2,0),"")</f>
        <v/>
      </c>
      <c r="T52" s="9" t="str">
        <f aca="false">IFERROR(VLOOKUP(J52,categorieen!$D:$E,2,0),"")</f>
        <v/>
      </c>
    </row>
    <row r="53" customFormat="false" ht="15" hidden="false" customHeight="false" outlineLevel="0" collapsed="false">
      <c r="A53" s="9" t="s">
        <v>79</v>
      </c>
      <c r="B53" s="11"/>
      <c r="C53" s="9" t="n">
        <v>29</v>
      </c>
      <c r="D53" s="9" t="n">
        <v>32</v>
      </c>
      <c r="E53" s="9" t="n">
        <v>20</v>
      </c>
      <c r="F53" s="9" t="n">
        <v>31</v>
      </c>
      <c r="G53" s="9" t="n">
        <v>27</v>
      </c>
      <c r="H53" s="9"/>
      <c r="I53" s="9"/>
      <c r="J53" s="9"/>
      <c r="K53" s="9"/>
      <c r="L53" s="9"/>
      <c r="M53" s="9" t="str">
        <f aca="false">IFERROR(VLOOKUP(C53,categorieen!$D:$E,2,0),"")</f>
        <v>Hilvarenbeek</v>
      </c>
      <c r="N53" s="9" t="str">
        <f aca="false">IFERROR(VLOOKUP(D53,categorieen!$D:$E,2,0),"")</f>
        <v>Met ie</v>
      </c>
      <c r="O53" s="9" t="str">
        <f aca="false">IFERROR(VLOOKUP(E53,categorieen!$D:$E,2,0),"")</f>
        <v>Festival</v>
      </c>
      <c r="P53" s="9" t="str">
        <f aca="false">IFERROR(VLOOKUP(F53,categorieen!$D:$E,2,0),"")</f>
        <v>Kleurrijk</v>
      </c>
      <c r="Q53" s="9" t="str">
        <f aca="false">IFERROR(VLOOKUP(G53,categorieen!$D:$E,2,0),"")</f>
        <v>Eten en Drinken (ED)</v>
      </c>
      <c r="R53" s="9" t="str">
        <f aca="false">IFERROR(VLOOKUP(H53,categorieen!$D:$E,2,0),"")</f>
        <v/>
      </c>
      <c r="S53" s="9" t="str">
        <f aca="false">IFERROR(VLOOKUP(I53,categorieen!$D:$E,2,0),"")</f>
        <v/>
      </c>
      <c r="T53" s="9" t="str">
        <f aca="false">IFERROR(VLOOKUP(J53,categorieen!$D:$E,2,0),"")</f>
        <v/>
      </c>
    </row>
    <row r="54" customFormat="false" ht="15" hidden="false" customHeight="false" outlineLevel="0" collapsed="false">
      <c r="A54" s="9" t="s">
        <v>80</v>
      </c>
      <c r="B54" s="11"/>
      <c r="C54" s="9" t="n">
        <v>8</v>
      </c>
      <c r="D54" s="9" t="n">
        <v>42</v>
      </c>
      <c r="E54" s="9" t="n">
        <v>2</v>
      </c>
      <c r="F54" s="9"/>
      <c r="G54" s="9"/>
      <c r="H54" s="9"/>
      <c r="I54" s="9"/>
      <c r="J54" s="9"/>
      <c r="K54" s="9"/>
      <c r="L54" s="9"/>
      <c r="M54" s="9" t="str">
        <f aca="false">IFERROR(VLOOKUP(C54,categorieen!$D:$E,2,0),"")</f>
        <v>040 (Eindhoven)</v>
      </c>
      <c r="N54" s="9" t="str">
        <f aca="false">IFERROR(VLOOKUP(D54,categorieen!$D:$E,2,0),"")</f>
        <v>7 letters</v>
      </c>
      <c r="O54" s="9" t="str">
        <f aca="false">IFERROR(VLOOKUP(E54,categorieen!$D:$E,2,0),"")</f>
        <v>(stand)beeld / (Rijks)monument</v>
      </c>
      <c r="P54" s="9" t="str">
        <f aca="false">IFERROR(VLOOKUP(F54,categorieen!$D:$E,2,0),"")</f>
        <v/>
      </c>
      <c r="Q54" s="9" t="str">
        <f aca="false">IFERROR(VLOOKUP(G54,categorieen!$D:$E,2,0),"")</f>
        <v/>
      </c>
      <c r="R54" s="9" t="str">
        <f aca="false">IFERROR(VLOOKUP(H54,categorieen!$D:$E,2,0),"")</f>
        <v/>
      </c>
      <c r="S54" s="9" t="str">
        <f aca="false">IFERROR(VLOOKUP(I54,categorieen!$D:$E,2,0),"")</f>
        <v/>
      </c>
      <c r="T54" s="9" t="str">
        <f aca="false">IFERROR(VLOOKUP(J54,categorieen!$D:$E,2,0),"")</f>
        <v/>
      </c>
    </row>
    <row r="55" customFormat="false" ht="15" hidden="false" customHeight="false" outlineLevel="0" collapsed="false">
      <c r="A55" s="9" t="s">
        <v>81</v>
      </c>
      <c r="B55" s="11" t="s">
        <v>82</v>
      </c>
      <c r="C55" s="9" t="n">
        <v>5</v>
      </c>
      <c r="D55" s="9" t="n">
        <v>8</v>
      </c>
      <c r="E55" s="9" t="n">
        <v>17</v>
      </c>
      <c r="F55" s="9" t="n">
        <v>22</v>
      </c>
      <c r="G55" s="9"/>
      <c r="H55" s="9"/>
      <c r="I55" s="9"/>
      <c r="J55" s="9"/>
      <c r="K55" s="9"/>
      <c r="L55" s="9"/>
      <c r="M55" s="9" t="str">
        <f aca="false">IFERROR(VLOOKUP(C55,categorieen!$D:$E,2,0),"")</f>
        <v>Bekende Brabanders</v>
      </c>
      <c r="N55" s="9" t="str">
        <f aca="false">IFERROR(VLOOKUP(D55,categorieen!$D:$E,2,0),"")</f>
        <v>040 (Eindhoven)</v>
      </c>
      <c r="O55" s="9" t="str">
        <f aca="false">IFERROR(VLOOKUP(E55,categorieen!$D:$E,2,0),"")</f>
        <v>Met dubbel s</v>
      </c>
      <c r="P55" s="9" t="str">
        <f aca="false">IFERROR(VLOOKUP(F55,categorieen!$D:$E,2,0),"")</f>
        <v>3x dezelfde letter</v>
      </c>
      <c r="Q55" s="9" t="str">
        <f aca="false">IFERROR(VLOOKUP(G55,categorieen!$D:$E,2,0),"")</f>
        <v/>
      </c>
      <c r="R55" s="9" t="str">
        <f aca="false">IFERROR(VLOOKUP(H55,categorieen!$D:$E,2,0),"")</f>
        <v/>
      </c>
      <c r="S55" s="9" t="str">
        <f aca="false">IFERROR(VLOOKUP(I55,categorieen!$D:$E,2,0),"")</f>
        <v/>
      </c>
      <c r="T55" s="9" t="str">
        <f aca="false">IFERROR(VLOOKUP(J55,categorieen!$D:$E,2,0),"")</f>
        <v/>
      </c>
    </row>
    <row r="56" customFormat="false" ht="15" hidden="false" customHeight="false" outlineLevel="0" collapsed="false">
      <c r="A56" s="14" t="s">
        <v>83</v>
      </c>
      <c r="B56" s="11"/>
      <c r="C56" s="10" t="n">
        <v>2</v>
      </c>
      <c r="D56" s="10" t="n">
        <v>22</v>
      </c>
      <c r="E56" s="9"/>
      <c r="F56" s="9"/>
      <c r="G56" s="9"/>
      <c r="H56" s="9"/>
      <c r="I56" s="9"/>
      <c r="J56" s="9"/>
      <c r="K56" s="9"/>
      <c r="L56" s="9"/>
      <c r="M56" s="9" t="str">
        <f aca="false">IFERROR(VLOOKUP(C56,categorieen!$D:$E,2,0),"")</f>
        <v>(stand)beeld / (Rijks)monument</v>
      </c>
      <c r="N56" s="9" t="str">
        <f aca="false">IFERROR(VLOOKUP(D56,categorieen!$D:$E,2,0),"")</f>
        <v>3x dezelfde letter</v>
      </c>
      <c r="O56" s="9" t="str">
        <f aca="false">IFERROR(VLOOKUP(E56,categorieen!$D:$E,2,0),"")</f>
        <v/>
      </c>
      <c r="P56" s="9" t="str">
        <f aca="false">IFERROR(VLOOKUP(F56,categorieen!$D:$E,2,0),"")</f>
        <v/>
      </c>
      <c r="Q56" s="9" t="str">
        <f aca="false">IFERROR(VLOOKUP(G56,categorieen!$D:$E,2,0),"")</f>
        <v/>
      </c>
      <c r="R56" s="9" t="str">
        <f aca="false">IFERROR(VLOOKUP(H56,categorieen!$D:$E,2,0),"")</f>
        <v/>
      </c>
      <c r="S56" s="9" t="str">
        <f aca="false">IFERROR(VLOOKUP(I56,categorieen!$D:$E,2,0),"")</f>
        <v/>
      </c>
      <c r="T56" s="9" t="str">
        <f aca="false">IFERROR(VLOOKUP(J56,categorieen!$D:$E,2,0),"")</f>
        <v/>
      </c>
    </row>
    <row r="57" customFormat="false" ht="15" hidden="false" customHeight="false" outlineLevel="0" collapsed="false">
      <c r="A57" s="9" t="s">
        <v>84</v>
      </c>
      <c r="B57" s="11"/>
      <c r="C57" s="9" t="n">
        <v>20</v>
      </c>
      <c r="D57" s="9" t="n">
        <v>8</v>
      </c>
      <c r="E57" s="9" t="n">
        <v>31</v>
      </c>
      <c r="F57" s="9" t="n">
        <v>24</v>
      </c>
      <c r="G57" s="9"/>
      <c r="H57" s="9"/>
      <c r="I57" s="9"/>
      <c r="J57" s="9"/>
      <c r="K57" s="9"/>
      <c r="L57" s="9"/>
      <c r="M57" s="9" t="str">
        <f aca="false">IFERROR(VLOOKUP(C57,categorieen!$D:$E,2,0),"")</f>
        <v>Festival</v>
      </c>
      <c r="N57" s="9" t="str">
        <f aca="false">IFERROR(VLOOKUP(D57,categorieen!$D:$E,2,0),"")</f>
        <v>040 (Eindhoven)</v>
      </c>
      <c r="O57" s="9" t="str">
        <f aca="false">IFERROR(VLOOKUP(E57,categorieen!$D:$E,2,0),"")</f>
        <v>Kleurrijk</v>
      </c>
      <c r="P57" s="9" t="str">
        <f aca="false">IFERROR(VLOOKUP(F57,categorieen!$D:$E,2,0),"")</f>
        <v>3 of 4 letters</v>
      </c>
      <c r="Q57" s="9" t="str">
        <f aca="false">IFERROR(VLOOKUP(G57,categorieen!$D:$E,2,0),"")</f>
        <v/>
      </c>
      <c r="R57" s="9" t="str">
        <f aca="false">IFERROR(VLOOKUP(H57,categorieen!$D:$E,2,0),"")</f>
        <v/>
      </c>
      <c r="S57" s="9" t="str">
        <f aca="false">IFERROR(VLOOKUP(I57,categorieen!$D:$E,2,0),"")</f>
        <v/>
      </c>
      <c r="T57" s="9" t="str">
        <f aca="false">IFERROR(VLOOKUP(J57,categorieen!$D:$E,2,0),"")</f>
        <v/>
      </c>
    </row>
    <row r="58" customFormat="false" ht="15" hidden="false" customHeight="false" outlineLevel="0" collapsed="false">
      <c r="A58" s="10" t="s">
        <v>85</v>
      </c>
      <c r="B58" s="11"/>
      <c r="C58" s="9" t="n">
        <v>22</v>
      </c>
      <c r="D58" s="9" t="n">
        <v>19</v>
      </c>
      <c r="E58" s="9" t="n">
        <v>29</v>
      </c>
      <c r="F58" s="9"/>
      <c r="G58" s="9"/>
      <c r="H58" s="9"/>
      <c r="I58" s="9"/>
      <c r="J58" s="9"/>
      <c r="K58" s="9"/>
      <c r="L58" s="9"/>
      <c r="M58" s="9" t="str">
        <f aca="false">IFERROR(VLOOKUP(C58,categorieen!$D:$E,2,0),"")</f>
        <v>3x dezelfde letter</v>
      </c>
      <c r="N58" s="9" t="str">
        <f aca="false">IFERROR(VLOOKUP(D58,categorieen!$D:$E,2,0),"")</f>
        <v>Natuur</v>
      </c>
      <c r="O58" s="9" t="str">
        <f aca="false">IFERROR(VLOOKUP(E58,categorieen!$D:$E,2,0),"")</f>
        <v>Hilvarenbeek</v>
      </c>
      <c r="P58" s="9" t="str">
        <f aca="false">IFERROR(VLOOKUP(F58,categorieen!$D:$E,2,0),"")</f>
        <v/>
      </c>
      <c r="Q58" s="9" t="str">
        <f aca="false">IFERROR(VLOOKUP(G58,categorieen!$D:$E,2,0),"")</f>
        <v/>
      </c>
      <c r="R58" s="9" t="str">
        <f aca="false">IFERROR(VLOOKUP(H58,categorieen!$D:$E,2,0),"")</f>
        <v/>
      </c>
      <c r="S58" s="9" t="str">
        <f aca="false">IFERROR(VLOOKUP(I58,categorieen!$D:$E,2,0),"")</f>
        <v/>
      </c>
      <c r="T58" s="9" t="str">
        <f aca="false">IFERROR(VLOOKUP(J58,categorieen!$D:$E,2,0),"")</f>
        <v/>
      </c>
    </row>
    <row r="59" customFormat="false" ht="15" hidden="false" customHeight="false" outlineLevel="0" collapsed="false">
      <c r="A59" s="9" t="s">
        <v>86</v>
      </c>
      <c r="B59" s="11"/>
      <c r="C59" s="9" t="n">
        <v>37</v>
      </c>
      <c r="D59" s="9" t="n">
        <v>15</v>
      </c>
      <c r="E59" s="9" t="n">
        <v>30</v>
      </c>
      <c r="F59" s="9"/>
      <c r="G59" s="9"/>
      <c r="H59" s="9"/>
      <c r="I59" s="9"/>
      <c r="J59" s="9"/>
      <c r="K59" s="9"/>
      <c r="L59" s="9"/>
      <c r="M59" s="9" t="str">
        <f aca="false">IFERROR(VLOOKUP(C59,categorieen!$D:$E,2,0),"")</f>
        <v>s Hertogenbosch (DB)</v>
      </c>
      <c r="N59" s="9" t="str">
        <f aca="false">IFERROR(VLOOKUP(D59,categorieen!$D:$E,2,0),"")</f>
        <v>Getal/Cijfer</v>
      </c>
      <c r="O59" s="9" t="str">
        <f aca="false">IFERROR(VLOOKUP(E59,categorieen!$D:$E,2,0),"")</f>
        <v>In de volksmond (IDV)</v>
      </c>
      <c r="P59" s="9" t="str">
        <f aca="false">IFERROR(VLOOKUP(F59,categorieen!$D:$E,2,0),"")</f>
        <v/>
      </c>
      <c r="Q59" s="9" t="str">
        <f aca="false">IFERROR(VLOOKUP(G59,categorieen!$D:$E,2,0),"")</f>
        <v/>
      </c>
      <c r="R59" s="9" t="str">
        <f aca="false">IFERROR(VLOOKUP(H59,categorieen!$D:$E,2,0),"")</f>
        <v/>
      </c>
      <c r="S59" s="9" t="str">
        <f aca="false">IFERROR(VLOOKUP(I59,categorieen!$D:$E,2,0),"")</f>
        <v/>
      </c>
      <c r="T59" s="9" t="str">
        <f aca="false">IFERROR(VLOOKUP(J59,categorieen!$D:$E,2,0),"")</f>
        <v/>
      </c>
    </row>
    <row r="60" customFormat="false" ht="15" hidden="false" customHeight="false" outlineLevel="0" collapsed="false">
      <c r="A60" s="9" t="s">
        <v>87</v>
      </c>
      <c r="B60" s="11"/>
      <c r="C60" s="9" t="n">
        <v>14</v>
      </c>
      <c r="D60" s="9" t="n">
        <v>19</v>
      </c>
      <c r="E60" s="9" t="n">
        <v>9</v>
      </c>
      <c r="F60" s="9" t="n">
        <v>16</v>
      </c>
      <c r="G60" s="9"/>
      <c r="H60" s="9"/>
      <c r="I60" s="9"/>
      <c r="J60" s="9"/>
      <c r="K60" s="9"/>
      <c r="L60" s="9"/>
      <c r="M60" s="9" t="str">
        <f aca="false">IFERROR(VLOOKUP(C60,categorieen!$D:$E,2,0),"")</f>
        <v>Kasteel</v>
      </c>
      <c r="N60" s="9" t="str">
        <f aca="false">IFERROR(VLOOKUP(D60,categorieen!$D:$E,2,0),"")</f>
        <v>Natuur</v>
      </c>
      <c r="O60" s="9" t="str">
        <f aca="false">IFERROR(VLOOKUP(E60,categorieen!$D:$E,2,0),"")</f>
        <v>Kiosk</v>
      </c>
      <c r="P60" s="9" t="str">
        <f aca="false">IFERROR(VLOOKUP(F60,categorieen!$D:$E,2,0),"")</f>
        <v>Buurtschap</v>
      </c>
      <c r="Q60" s="9" t="str">
        <f aca="false">IFERROR(VLOOKUP(G60,categorieen!$D:$E,2,0),"")</f>
        <v/>
      </c>
      <c r="R60" s="9" t="str">
        <f aca="false">IFERROR(VLOOKUP(H60,categorieen!$D:$E,2,0),"")</f>
        <v/>
      </c>
      <c r="S60" s="9" t="str">
        <f aca="false">IFERROR(VLOOKUP(I60,categorieen!$D:$E,2,0),"")</f>
        <v/>
      </c>
      <c r="T60" s="9" t="str">
        <f aca="false">IFERROR(VLOOKUP(J60,categorieen!$D:$E,2,0),"")</f>
        <v/>
      </c>
    </row>
    <row r="61" customFormat="false" ht="15" hidden="false" customHeight="false" outlineLevel="0" collapsed="false">
      <c r="A61" s="9" t="s">
        <v>88</v>
      </c>
      <c r="B61" s="11"/>
      <c r="C61" s="9" t="n">
        <v>21</v>
      </c>
      <c r="D61" s="9" t="n">
        <v>34</v>
      </c>
      <c r="E61" s="9" t="n">
        <v>16</v>
      </c>
      <c r="F61" s="9"/>
      <c r="G61" s="9"/>
      <c r="H61" s="9"/>
      <c r="I61" s="9"/>
      <c r="J61" s="9"/>
      <c r="K61" s="9"/>
      <c r="L61" s="9"/>
      <c r="M61" s="9" t="str">
        <f aca="false">IFERROR(VLOOKUP(C61,categorieen!$D:$E,2,0),"")</f>
        <v>West Brabant</v>
      </c>
      <c r="N61" s="9" t="str">
        <f aca="false">IFERROR(VLOOKUP(D61,categorieen!$D:$E,2,0),"")</f>
        <v>Met 4 Wieken</v>
      </c>
      <c r="O61" s="9" t="str">
        <f aca="false">IFERROR(VLOOKUP(E61,categorieen!$D:$E,2,0),"")</f>
        <v>Buurtschap</v>
      </c>
      <c r="P61" s="9" t="str">
        <f aca="false">IFERROR(VLOOKUP(F61,categorieen!$D:$E,2,0),"")</f>
        <v/>
      </c>
      <c r="Q61" s="9" t="str">
        <f aca="false">IFERROR(VLOOKUP(G61,categorieen!$D:$E,2,0),"")</f>
        <v/>
      </c>
      <c r="R61" s="9" t="str">
        <f aca="false">IFERROR(VLOOKUP(H61,categorieen!$D:$E,2,0),"")</f>
        <v/>
      </c>
      <c r="S61" s="9" t="str">
        <f aca="false">IFERROR(VLOOKUP(I61,categorieen!$D:$E,2,0),"")</f>
        <v/>
      </c>
      <c r="T61" s="9" t="str">
        <f aca="false">IFERROR(VLOOKUP(J61,categorieen!$D:$E,2,0),"")</f>
        <v/>
      </c>
    </row>
    <row r="62" customFormat="false" ht="15" hidden="false" customHeight="false" outlineLevel="0" collapsed="false">
      <c r="A62" s="9" t="s">
        <v>89</v>
      </c>
      <c r="B62" s="11"/>
      <c r="C62" s="9" t="n">
        <v>42</v>
      </c>
      <c r="D62" s="9" t="n">
        <v>14</v>
      </c>
      <c r="E62" s="9"/>
      <c r="F62" s="9"/>
      <c r="G62" s="9"/>
      <c r="H62" s="9"/>
      <c r="I62" s="9"/>
      <c r="J62" s="9"/>
      <c r="K62" s="9"/>
      <c r="L62" s="9"/>
      <c r="M62" s="9" t="str">
        <f aca="false">IFERROR(VLOOKUP(C62,categorieen!$D:$E,2,0),"")</f>
        <v>7 letters</v>
      </c>
      <c r="N62" s="9" t="str">
        <f aca="false">IFERROR(VLOOKUP(D62,categorieen!$D:$E,2,0),"")</f>
        <v>Kasteel</v>
      </c>
      <c r="O62" s="9" t="str">
        <f aca="false">IFERROR(VLOOKUP(E62,categorieen!$D:$E,2,0),"")</f>
        <v/>
      </c>
      <c r="P62" s="9" t="str">
        <f aca="false">IFERROR(VLOOKUP(F62,categorieen!$D:$E,2,0),"")</f>
        <v/>
      </c>
      <c r="Q62" s="9" t="str">
        <f aca="false">IFERROR(VLOOKUP(G62,categorieen!$D:$E,2,0),"")</f>
        <v/>
      </c>
      <c r="R62" s="9" t="str">
        <f aca="false">IFERROR(VLOOKUP(H62,categorieen!$D:$E,2,0),"")</f>
        <v/>
      </c>
      <c r="S62" s="9" t="str">
        <f aca="false">IFERROR(VLOOKUP(I62,categorieen!$D:$E,2,0),"")</f>
        <v/>
      </c>
      <c r="T62" s="9" t="str">
        <f aca="false">IFERROR(VLOOKUP(J62,categorieen!$D:$E,2,0),"")</f>
        <v/>
      </c>
    </row>
    <row r="63" customFormat="false" ht="15" hidden="false" customHeight="false" outlineLevel="0" collapsed="false">
      <c r="A63" s="9" t="s">
        <v>90</v>
      </c>
      <c r="B63" s="11"/>
      <c r="C63" s="9" t="n">
        <v>40</v>
      </c>
      <c r="D63" s="9" t="n">
        <v>30</v>
      </c>
      <c r="E63" s="9" t="n">
        <v>4</v>
      </c>
      <c r="F63" s="9"/>
      <c r="G63" s="9"/>
      <c r="H63" s="9"/>
      <c r="I63" s="9"/>
      <c r="J63" s="9"/>
      <c r="K63" s="9"/>
      <c r="L63" s="9"/>
      <c r="M63" s="9" t="str">
        <f aca="false">IFERROR(VLOOKUP(C63,categorieen!$D:$E,2,0),"")</f>
        <v>Typisch Brabants (TB)</v>
      </c>
      <c r="N63" s="9" t="str">
        <f aca="false">IFERROR(VLOOKUP(D63,categorieen!$D:$E,2,0),"")</f>
        <v>In de volksmond (IDV)</v>
      </c>
      <c r="O63" s="9" t="str">
        <f aca="false">IFERROR(VLOOKUP(E63,categorieen!$D:$E,2,0),"")</f>
        <v>Zes letters</v>
      </c>
      <c r="P63" s="9" t="str">
        <f aca="false">IFERROR(VLOOKUP(F63,categorieen!$D:$E,2,0),"")</f>
        <v/>
      </c>
      <c r="Q63" s="9" t="str">
        <f aca="false">IFERROR(VLOOKUP(G63,categorieen!$D:$E,2,0),"")</f>
        <v/>
      </c>
      <c r="R63" s="9" t="str">
        <f aca="false">IFERROR(VLOOKUP(H63,categorieen!$D:$E,2,0),"")</f>
        <v/>
      </c>
      <c r="S63" s="9" t="str">
        <f aca="false">IFERROR(VLOOKUP(I63,categorieen!$D:$E,2,0),"")</f>
        <v/>
      </c>
      <c r="T63" s="9" t="str">
        <f aca="false">IFERROR(VLOOKUP(J63,categorieen!$D:$E,2,0),"")</f>
        <v/>
      </c>
    </row>
    <row r="64" customFormat="false" ht="15" hidden="false" customHeight="false" outlineLevel="0" collapsed="false">
      <c r="A64" s="14" t="s">
        <v>91</v>
      </c>
      <c r="B64" s="11"/>
      <c r="C64" s="10" t="n">
        <v>4</v>
      </c>
      <c r="D64" s="9" t="n">
        <v>25</v>
      </c>
      <c r="E64" s="9" t="n">
        <v>26</v>
      </c>
      <c r="F64" s="9"/>
      <c r="G64" s="9"/>
      <c r="H64" s="9"/>
      <c r="I64" s="9"/>
      <c r="J64" s="9"/>
      <c r="K64" s="9"/>
      <c r="L64" s="9"/>
      <c r="M64" s="9" t="str">
        <f aca="false">IFERROR(VLOOKUP(C64,categorieen!$D:$E,2,0),"")</f>
        <v>Zes letters</v>
      </c>
      <c r="N64" s="9" t="str">
        <f aca="false">IFERROR(VLOOKUP(D64,categorieen!$D:$E,2,0),"")</f>
        <v>1 van de 8</v>
      </c>
      <c r="O64" s="9" t="str">
        <f aca="false">IFERROR(VLOOKUP(E64,categorieen!$D:$E,2,0),"")</f>
        <v>Eindigt op el</v>
      </c>
      <c r="P64" s="9" t="str">
        <f aca="false">IFERROR(VLOOKUP(F64,categorieen!$D:$E,2,0),"")</f>
        <v/>
      </c>
      <c r="Q64" s="9" t="str">
        <f aca="false">IFERROR(VLOOKUP(G64,categorieen!$D:$E,2,0),"")</f>
        <v/>
      </c>
      <c r="R64" s="9" t="str">
        <f aca="false">IFERROR(VLOOKUP(H64,categorieen!$D:$E,2,0),"")</f>
        <v/>
      </c>
      <c r="S64" s="9" t="str">
        <f aca="false">IFERROR(VLOOKUP(I64,categorieen!$D:$E,2,0),"")</f>
        <v/>
      </c>
      <c r="T64" s="9" t="str">
        <f aca="false">IFERROR(VLOOKUP(J64,categorieen!$D:$E,2,0),"")</f>
        <v/>
      </c>
    </row>
    <row r="65" customFormat="false" ht="15" hidden="false" customHeight="false" outlineLevel="0" collapsed="false">
      <c r="A65" s="9" t="s">
        <v>92</v>
      </c>
      <c r="B65" s="11" t="s">
        <v>93</v>
      </c>
      <c r="C65" s="9" t="n">
        <v>38</v>
      </c>
      <c r="D65" s="9" t="n">
        <v>5</v>
      </c>
      <c r="E65" s="9" t="n">
        <v>13</v>
      </c>
      <c r="F65" s="9" t="n">
        <v>8</v>
      </c>
      <c r="G65" s="9"/>
      <c r="H65" s="9"/>
      <c r="I65" s="9"/>
      <c r="J65" s="9"/>
      <c r="K65" s="9"/>
      <c r="L65" s="9"/>
      <c r="M65" s="9" t="str">
        <f aca="false">IFERROR(VLOOKUP(C65,categorieen!$D:$E,2,0),"")</f>
        <v>Sport</v>
      </c>
      <c r="N65" s="9" t="str">
        <f aca="false">IFERROR(VLOOKUP(D65,categorieen!$D:$E,2,0),"")</f>
        <v>Bekende Brabanders</v>
      </c>
      <c r="O65" s="9" t="str">
        <f aca="false">IFERROR(VLOOKUP(E65,categorieen!$D:$E,2,0),"")</f>
        <v>Met dubbel T</v>
      </c>
      <c r="P65" s="9" t="str">
        <f aca="false">IFERROR(VLOOKUP(F65,categorieen!$D:$E,2,0),"")</f>
        <v>040 (Eindhoven)</v>
      </c>
      <c r="Q65" s="9" t="str">
        <f aca="false">IFERROR(VLOOKUP(G65,categorieen!$D:$E,2,0),"")</f>
        <v/>
      </c>
      <c r="R65" s="9" t="str">
        <f aca="false">IFERROR(VLOOKUP(H65,categorieen!$D:$E,2,0),"")</f>
        <v/>
      </c>
      <c r="S65" s="9" t="str">
        <f aca="false">IFERROR(VLOOKUP(I65,categorieen!$D:$E,2,0),"")</f>
        <v/>
      </c>
      <c r="T65" s="9" t="str">
        <f aca="false">IFERROR(VLOOKUP(J65,categorieen!$D:$E,2,0),"")</f>
        <v/>
      </c>
    </row>
    <row r="66" customFormat="false" ht="15" hidden="false" customHeight="false" outlineLevel="0" collapsed="false">
      <c r="A66" s="9" t="s">
        <v>94</v>
      </c>
      <c r="B66" s="11"/>
      <c r="C66" s="9" t="n">
        <v>41</v>
      </c>
      <c r="D66" s="9" t="n">
        <v>8</v>
      </c>
      <c r="E66" s="9" t="n">
        <v>12</v>
      </c>
      <c r="F66" s="9" t="n">
        <v>19</v>
      </c>
      <c r="G66" s="9"/>
      <c r="H66" s="9"/>
      <c r="I66" s="9"/>
      <c r="J66" s="9"/>
      <c r="K66" s="9"/>
      <c r="L66" s="9"/>
      <c r="M66" s="9" t="str">
        <f aca="false">IFERROR(VLOOKUP(C66,categorieen!$D:$E,2,0),"")</f>
        <v>Vught</v>
      </c>
      <c r="N66" s="9" t="str">
        <f aca="false">IFERROR(VLOOKUP(D66,categorieen!$D:$E,2,0),"")</f>
        <v>040 (Eindhoven)</v>
      </c>
      <c r="O66" s="9" t="str">
        <f aca="false">IFERROR(VLOOKUP(E66,categorieen!$D:$E,2,0),"")</f>
        <v>Water</v>
      </c>
      <c r="P66" s="9" t="str">
        <f aca="false">IFERROR(VLOOKUP(F66,categorieen!$D:$E,2,0),"")</f>
        <v>Natuur</v>
      </c>
      <c r="Q66" s="9" t="str">
        <f aca="false">IFERROR(VLOOKUP(G66,categorieen!$D:$E,2,0),"")</f>
        <v/>
      </c>
      <c r="R66" s="9" t="str">
        <f aca="false">IFERROR(VLOOKUP(H66,categorieen!$D:$E,2,0),"")</f>
        <v/>
      </c>
      <c r="S66" s="9" t="str">
        <f aca="false">IFERROR(VLOOKUP(I66,categorieen!$D:$E,2,0),"")</f>
        <v/>
      </c>
      <c r="T66" s="9" t="str">
        <f aca="false">IFERROR(VLOOKUP(J66,categorieen!$D:$E,2,0),"")</f>
        <v/>
      </c>
    </row>
    <row r="67" customFormat="false" ht="15" hidden="false" customHeight="false" outlineLevel="0" collapsed="false">
      <c r="A67" s="9" t="s">
        <v>95</v>
      </c>
      <c r="B67" s="11"/>
      <c r="C67" s="9" t="n">
        <v>20</v>
      </c>
      <c r="D67" s="9" t="n">
        <v>31</v>
      </c>
      <c r="E67" s="9" t="n">
        <v>35</v>
      </c>
      <c r="F67" s="9" t="n">
        <v>42</v>
      </c>
      <c r="G67" s="9"/>
      <c r="H67" s="9"/>
      <c r="I67" s="9"/>
      <c r="J67" s="9"/>
      <c r="K67" s="9"/>
      <c r="L67" s="9"/>
      <c r="M67" s="9" t="str">
        <f aca="false">IFERROR(VLOOKUP(C67,categorieen!$D:$E,2,0),"")</f>
        <v>Festival</v>
      </c>
      <c r="N67" s="9" t="str">
        <f aca="false">IFERROR(VLOOKUP(D67,categorieen!$D:$E,2,0),"")</f>
        <v>Kleurrijk</v>
      </c>
      <c r="O67" s="9" t="str">
        <f aca="false">IFERROR(VLOOKUP(E67,categorieen!$D:$E,2,0),"")</f>
        <v>Parel in het Groen (PITG)</v>
      </c>
      <c r="P67" s="9" t="str">
        <f aca="false">IFERROR(VLOOKUP(F67,categorieen!$D:$E,2,0),"")</f>
        <v>7 letters</v>
      </c>
      <c r="Q67" s="9" t="str">
        <f aca="false">IFERROR(VLOOKUP(G67,categorieen!$D:$E,2,0),"")</f>
        <v/>
      </c>
      <c r="R67" s="9" t="str">
        <f aca="false">IFERROR(VLOOKUP(H67,categorieen!$D:$E,2,0),"")</f>
        <v/>
      </c>
      <c r="S67" s="9" t="str">
        <f aca="false">IFERROR(VLOOKUP(I67,categorieen!$D:$E,2,0),"")</f>
        <v/>
      </c>
      <c r="T67" s="9" t="str">
        <f aca="false">IFERROR(VLOOKUP(J67,categorieen!$D:$E,2,0),"")</f>
        <v/>
      </c>
    </row>
    <row r="68" customFormat="false" ht="15" hidden="false" customHeight="false" outlineLevel="0" collapsed="false">
      <c r="A68" s="9" t="s">
        <v>96</v>
      </c>
      <c r="B68" s="11" t="s">
        <v>97</v>
      </c>
      <c r="C68" s="9" t="n">
        <v>41</v>
      </c>
      <c r="D68" s="9" t="n">
        <v>27</v>
      </c>
      <c r="E68" s="9" t="n">
        <v>31</v>
      </c>
      <c r="F68" s="9"/>
      <c r="G68" s="9"/>
      <c r="H68" s="9"/>
      <c r="I68" s="9"/>
      <c r="J68" s="9"/>
      <c r="K68" s="9"/>
      <c r="L68" s="9"/>
      <c r="M68" s="9" t="str">
        <f aca="false">IFERROR(VLOOKUP(C68,categorieen!$D:$E,2,0),"")</f>
        <v>Vught</v>
      </c>
      <c r="N68" s="9" t="str">
        <f aca="false">IFERROR(VLOOKUP(D68,categorieen!$D:$E,2,0),"")</f>
        <v>Eten en Drinken (ED)</v>
      </c>
      <c r="O68" s="9" t="str">
        <f aca="false">IFERROR(VLOOKUP(E68,categorieen!$D:$E,2,0),"")</f>
        <v>Kleurrijk</v>
      </c>
      <c r="P68" s="9" t="str">
        <f aca="false">IFERROR(VLOOKUP(F68,categorieen!$D:$E,2,0),"")</f>
        <v/>
      </c>
      <c r="Q68" s="9" t="str">
        <f aca="false">IFERROR(VLOOKUP(G68,categorieen!$D:$E,2,0),"")</f>
        <v/>
      </c>
      <c r="R68" s="9" t="str">
        <f aca="false">IFERROR(VLOOKUP(H68,categorieen!$D:$E,2,0),"")</f>
        <v/>
      </c>
      <c r="S68" s="9" t="str">
        <f aca="false">IFERROR(VLOOKUP(I68,categorieen!$D:$E,2,0),"")</f>
        <v/>
      </c>
      <c r="T68" s="9" t="str">
        <f aca="false">IFERROR(VLOOKUP(J68,categorieen!$D:$E,2,0),"")</f>
        <v/>
      </c>
    </row>
    <row r="69" customFormat="false" ht="30" hidden="false" customHeight="false" outlineLevel="0" collapsed="false">
      <c r="A69" s="9" t="s">
        <v>98</v>
      </c>
      <c r="B69" s="11" t="s">
        <v>99</v>
      </c>
      <c r="C69" s="9" t="n">
        <v>38</v>
      </c>
      <c r="D69" s="9" t="n">
        <v>5</v>
      </c>
      <c r="E69" s="9" t="n">
        <v>18</v>
      </c>
      <c r="F69" s="9"/>
      <c r="G69" s="9"/>
      <c r="H69" s="9"/>
      <c r="I69" s="9"/>
      <c r="J69" s="9"/>
      <c r="K69" s="9"/>
      <c r="L69" s="9"/>
      <c r="M69" s="9" t="str">
        <f aca="false">IFERROR(VLOOKUP(C69,categorieen!$D:$E,2,0),"")</f>
        <v>Sport</v>
      </c>
      <c r="N69" s="9" t="str">
        <f aca="false">IFERROR(VLOOKUP(D69,categorieen!$D:$E,2,0),"")</f>
        <v>Bekende Brabanders</v>
      </c>
      <c r="O69" s="9" t="str">
        <f aca="false">IFERROR(VLOOKUP(E69,categorieen!$D:$E,2,0),"")</f>
        <v>Willem II</v>
      </c>
      <c r="P69" s="9" t="str">
        <f aca="false">IFERROR(VLOOKUP(F69,categorieen!$D:$E,2,0),"")</f>
        <v/>
      </c>
      <c r="Q69" s="9" t="str">
        <f aca="false">IFERROR(VLOOKUP(G69,categorieen!$D:$E,2,0),"")</f>
        <v/>
      </c>
      <c r="R69" s="9" t="str">
        <f aca="false">IFERROR(VLOOKUP(H69,categorieen!$D:$E,2,0),"")</f>
        <v/>
      </c>
      <c r="S69" s="9" t="str">
        <f aca="false">IFERROR(VLOOKUP(I69,categorieen!$D:$E,2,0),"")</f>
        <v/>
      </c>
      <c r="T69" s="9" t="str">
        <f aca="false">IFERROR(VLOOKUP(J69,categorieen!$D:$E,2,0),"")</f>
        <v/>
      </c>
    </row>
    <row r="70" customFormat="false" ht="15" hidden="false" customHeight="false" outlineLevel="0" collapsed="false">
      <c r="A70" s="9" t="s">
        <v>100</v>
      </c>
      <c r="B70" s="9"/>
      <c r="C70" s="9" t="n">
        <v>35</v>
      </c>
      <c r="D70" s="9" t="n">
        <v>42</v>
      </c>
      <c r="E70" s="9" t="n">
        <v>2</v>
      </c>
      <c r="F70" s="9" t="n">
        <v>19</v>
      </c>
      <c r="G70" s="9"/>
      <c r="H70" s="9"/>
      <c r="I70" s="9"/>
      <c r="J70" s="9"/>
      <c r="K70" s="9"/>
      <c r="L70" s="9"/>
      <c r="M70" s="9" t="str">
        <f aca="false">IFERROR(VLOOKUP(C70,categorieen!$D:$E,2,0),"")</f>
        <v>Parel in het Groen (PITG)</v>
      </c>
      <c r="N70" s="9" t="str">
        <f aca="false">IFERROR(VLOOKUP(D70,categorieen!$D:$E,2,0),"")</f>
        <v>7 letters</v>
      </c>
      <c r="O70" s="9" t="str">
        <f aca="false">IFERROR(VLOOKUP(E70,categorieen!$D:$E,2,0),"")</f>
        <v>(stand)beeld / (Rijks)monument</v>
      </c>
      <c r="P70" s="9" t="str">
        <f aca="false">IFERROR(VLOOKUP(F70,categorieen!$D:$E,2,0),"")</f>
        <v>Natuur</v>
      </c>
      <c r="Q70" s="9" t="str">
        <f aca="false">IFERROR(VLOOKUP(G70,categorieen!$D:$E,2,0),"")</f>
        <v/>
      </c>
      <c r="R70" s="9" t="str">
        <f aca="false">IFERROR(VLOOKUP(H70,categorieen!$D:$E,2,0),"")</f>
        <v/>
      </c>
      <c r="S70" s="9" t="str">
        <f aca="false">IFERROR(VLOOKUP(I70,categorieen!$D:$E,2,0),"")</f>
        <v/>
      </c>
      <c r="T70" s="9" t="str">
        <f aca="false">IFERROR(VLOOKUP(J70,categorieen!$D:$E,2,0),"")</f>
        <v/>
      </c>
    </row>
    <row r="71" customFormat="false" ht="15" hidden="false" customHeight="false" outlineLevel="0" collapsed="false">
      <c r="A71" s="9" t="s">
        <v>101</v>
      </c>
      <c r="B71" s="9"/>
      <c r="C71" s="9" t="n">
        <v>25</v>
      </c>
      <c r="D71" s="9" t="n">
        <v>42</v>
      </c>
      <c r="E71" s="9" t="n">
        <v>26</v>
      </c>
      <c r="F71" s="9"/>
      <c r="G71" s="9"/>
      <c r="H71" s="9"/>
      <c r="I71" s="9"/>
      <c r="J71" s="9"/>
      <c r="K71" s="9"/>
      <c r="L71" s="9"/>
      <c r="M71" s="9" t="str">
        <f aca="false">IFERROR(VLOOKUP(C71,categorieen!$D:$E,2,0),"")</f>
        <v>1 van de 8</v>
      </c>
      <c r="N71" s="9" t="str">
        <f aca="false">IFERROR(VLOOKUP(D71,categorieen!$D:$E,2,0),"")</f>
        <v>7 letters</v>
      </c>
      <c r="O71" s="9" t="str">
        <f aca="false">IFERROR(VLOOKUP(E71,categorieen!$D:$E,2,0),"")</f>
        <v>Eindigt op el</v>
      </c>
      <c r="P71" s="9" t="str">
        <f aca="false">IFERROR(VLOOKUP(F71,categorieen!$D:$E,2,0),"")</f>
        <v/>
      </c>
      <c r="Q71" s="9" t="str">
        <f aca="false">IFERROR(VLOOKUP(G71,categorieen!$D:$E,2,0),"")</f>
        <v/>
      </c>
      <c r="R71" s="9" t="str">
        <f aca="false">IFERROR(VLOOKUP(H71,categorieen!$D:$E,2,0),"")</f>
        <v/>
      </c>
      <c r="S71" s="9" t="str">
        <f aca="false">IFERROR(VLOOKUP(I71,categorieen!$D:$E,2,0),"")</f>
        <v/>
      </c>
      <c r="T71" s="9" t="str">
        <f aca="false">IFERROR(VLOOKUP(J71,categorieen!$D:$E,2,0),"")</f>
        <v/>
      </c>
    </row>
    <row r="72" customFormat="false" ht="15" hidden="false" customHeight="false" outlineLevel="0" collapsed="false">
      <c r="A72" s="9" t="s">
        <v>102</v>
      </c>
      <c r="B72" s="9" t="s">
        <v>103</v>
      </c>
      <c r="C72" s="9" t="n">
        <v>7</v>
      </c>
      <c r="D72" s="9" t="n">
        <v>11</v>
      </c>
      <c r="E72" s="9" t="n">
        <v>22</v>
      </c>
      <c r="F72" s="9" t="n">
        <v>30</v>
      </c>
      <c r="G72" s="9"/>
      <c r="H72" s="9"/>
      <c r="I72" s="9"/>
      <c r="J72" s="9"/>
      <c r="K72" s="9"/>
      <c r="L72" s="9"/>
      <c r="M72" s="9" t="str">
        <f aca="false">IFERROR(VLOOKUP(C72,categorieen!$D:$E,2,0),"")</f>
        <v>Alaaf</v>
      </c>
      <c r="N72" s="9" t="str">
        <f aca="false">IFERROR(VLOOKUP(D72,categorieen!$D:$E,2,0),"")</f>
        <v>Tilburg</v>
      </c>
      <c r="O72" s="9" t="str">
        <f aca="false">IFERROR(VLOOKUP(E72,categorieen!$D:$E,2,0),"")</f>
        <v>3x dezelfde letter</v>
      </c>
      <c r="P72" s="9" t="str">
        <f aca="false">IFERROR(VLOOKUP(F72,categorieen!$D:$E,2,0),"")</f>
        <v>In de volksmond (IDV)</v>
      </c>
      <c r="Q72" s="9" t="str">
        <f aca="false">IFERROR(VLOOKUP(G72,categorieen!$D:$E,2,0),"")</f>
        <v/>
      </c>
      <c r="R72" s="9" t="str">
        <f aca="false">IFERROR(VLOOKUP(H72,categorieen!$D:$E,2,0),"")</f>
        <v/>
      </c>
      <c r="S72" s="9" t="str">
        <f aca="false">IFERROR(VLOOKUP(I72,categorieen!$D:$E,2,0),"")</f>
        <v/>
      </c>
      <c r="T72" s="9" t="str">
        <f aca="false">IFERROR(VLOOKUP(J72,categorieen!$D:$E,2,0),"")</f>
        <v/>
      </c>
    </row>
    <row r="73" customFormat="false" ht="15" hidden="false" customHeight="false" outlineLevel="0" collapsed="false">
      <c r="A73" s="9" t="s">
        <v>104</v>
      </c>
      <c r="B73" s="9"/>
      <c r="C73" s="9" t="n">
        <v>24</v>
      </c>
      <c r="D73" s="9" t="n">
        <v>35</v>
      </c>
      <c r="E73" s="9" t="n">
        <v>43</v>
      </c>
      <c r="F73" s="9"/>
      <c r="G73" s="9"/>
      <c r="H73" s="9"/>
      <c r="I73" s="9"/>
      <c r="J73" s="9"/>
      <c r="K73" s="9"/>
      <c r="L73" s="9"/>
      <c r="M73" s="9" t="str">
        <f aca="false">IFERROR(VLOOKUP(C73,categorieen!$D:$E,2,0),"")</f>
        <v>3 of 4 letters</v>
      </c>
      <c r="N73" s="9" t="str">
        <f aca="false">IFERROR(VLOOKUP(D73,categorieen!$D:$E,2,0),"")</f>
        <v>Parel in het Groen (PITG)</v>
      </c>
      <c r="O73" s="9" t="str">
        <f aca="false">IFERROR(VLOOKUP(E73,categorieen!$D:$E,2,0),"")</f>
        <v>Dierlijk</v>
      </c>
      <c r="P73" s="9" t="n">
        <v>2</v>
      </c>
      <c r="Q73" s="9" t="str">
        <f aca="false">IFERROR(VLOOKUP(G73,categorieen!$D:$E,2,0),"")</f>
        <v/>
      </c>
      <c r="R73" s="9" t="str">
        <f aca="false">IFERROR(VLOOKUP(H73,categorieen!$D:$E,2,0),"")</f>
        <v/>
      </c>
      <c r="S73" s="9" t="str">
        <f aca="false">IFERROR(VLOOKUP(I73,categorieen!$D:$E,2,0),"")</f>
        <v/>
      </c>
      <c r="T73" s="9" t="str">
        <f aca="false">IFERROR(VLOOKUP(J73,categorieen!$D:$E,2,0),"")</f>
        <v/>
      </c>
    </row>
    <row r="74" customFormat="false" ht="15" hidden="false" customHeight="false" outlineLevel="0" collapsed="false">
      <c r="A74" s="9" t="s">
        <v>105</v>
      </c>
      <c r="B74" s="9" t="s">
        <v>106</v>
      </c>
      <c r="C74" s="9" t="n">
        <v>7</v>
      </c>
      <c r="D74" s="9" t="n">
        <v>8</v>
      </c>
      <c r="E74" s="9" t="n">
        <v>40</v>
      </c>
      <c r="F74" s="9"/>
      <c r="G74" s="9"/>
      <c r="H74" s="9"/>
      <c r="I74" s="9"/>
      <c r="J74" s="9"/>
      <c r="K74" s="9"/>
      <c r="L74" s="9"/>
      <c r="M74" s="9" t="str">
        <f aca="false">IFERROR(VLOOKUP(C74,categorieen!$D:$E,2,0),"")</f>
        <v>Alaaf</v>
      </c>
      <c r="N74" s="9" t="str">
        <f aca="false">IFERROR(VLOOKUP(D74,categorieen!$D:$E,2,0),"")</f>
        <v>040 (Eindhoven)</v>
      </c>
      <c r="O74" s="9" t="str">
        <f aca="false">IFERROR(VLOOKUP(E74,categorieen!$D:$E,2,0),"")</f>
        <v>Typisch Brabants (TB)</v>
      </c>
      <c r="P74" s="9" t="str">
        <f aca="false">IFERROR(VLOOKUP(F74,categorieen!$D:$E,2,0),"")</f>
        <v/>
      </c>
      <c r="Q74" s="9" t="str">
        <f aca="false">IFERROR(VLOOKUP(G74,categorieen!$D:$E,2,0),"")</f>
        <v/>
      </c>
      <c r="R74" s="9" t="str">
        <f aca="false">IFERROR(VLOOKUP(H74,categorieen!$D:$E,2,0),"")</f>
        <v/>
      </c>
      <c r="S74" s="9" t="str">
        <f aca="false">IFERROR(VLOOKUP(I74,categorieen!$D:$E,2,0),"")</f>
        <v/>
      </c>
      <c r="T74" s="9" t="str">
        <f aca="false">IFERROR(VLOOKUP(J74,categorieen!$D:$E,2,0),"")</f>
        <v/>
      </c>
    </row>
    <row r="75" customFormat="false" ht="15" hidden="false" customHeight="false" outlineLevel="0" collapsed="false">
      <c r="A75" s="9" t="s">
        <v>107</v>
      </c>
      <c r="B75" s="9"/>
      <c r="C75" s="9" t="n">
        <v>22</v>
      </c>
      <c r="D75" s="9" t="n">
        <v>27</v>
      </c>
      <c r="E75" s="9" t="n">
        <v>35</v>
      </c>
      <c r="F75" s="9" t="n">
        <v>32</v>
      </c>
      <c r="G75" s="9"/>
      <c r="H75" s="9"/>
      <c r="I75" s="9"/>
      <c r="J75" s="9"/>
      <c r="K75" s="9"/>
      <c r="L75" s="9"/>
      <c r="M75" s="9" t="str">
        <f aca="false">IFERROR(VLOOKUP(C75,categorieen!$D:$E,2,0),"")</f>
        <v>3x dezelfde letter</v>
      </c>
      <c r="N75" s="9" t="str">
        <f aca="false">IFERROR(VLOOKUP(D75,categorieen!$D:$E,2,0),"")</f>
        <v>Eten en Drinken (ED)</v>
      </c>
      <c r="O75" s="9" t="str">
        <f aca="false">IFERROR(VLOOKUP(E75,categorieen!$D:$E,2,0),"")</f>
        <v>Parel in het Groen (PITG)</v>
      </c>
      <c r="P75" s="9" t="str">
        <f aca="false">IFERROR(VLOOKUP(F75,categorieen!$D:$E,2,0),"")</f>
        <v>Met ie</v>
      </c>
      <c r="Q75" s="9" t="str">
        <f aca="false">IFERROR(VLOOKUP(G75,categorieen!$D:$E,2,0),"")</f>
        <v/>
      </c>
      <c r="R75" s="9" t="str">
        <f aca="false">IFERROR(VLOOKUP(H75,categorieen!$D:$E,2,0),"")</f>
        <v/>
      </c>
      <c r="S75" s="9" t="str">
        <f aca="false">IFERROR(VLOOKUP(I75,categorieen!$D:$E,2,0),"")</f>
        <v/>
      </c>
      <c r="T75" s="9" t="str">
        <f aca="false">IFERROR(VLOOKUP(J75,categorieen!$D:$E,2,0),"")</f>
        <v/>
      </c>
    </row>
    <row r="76" customFormat="false" ht="15" hidden="false" customHeight="false" outlineLevel="0" collapsed="false">
      <c r="A76" s="9" t="s">
        <v>108</v>
      </c>
      <c r="B76" s="9"/>
      <c r="C76" s="9" t="n">
        <v>24</v>
      </c>
      <c r="D76" s="9" t="n">
        <v>33</v>
      </c>
      <c r="E76" s="9" t="n">
        <v>32</v>
      </c>
      <c r="F76" s="9" t="n">
        <v>16</v>
      </c>
      <c r="G76" s="9" t="n">
        <v>21</v>
      </c>
      <c r="H76" s="9"/>
      <c r="I76" s="9"/>
      <c r="J76" s="9"/>
      <c r="K76" s="9"/>
      <c r="L76" s="9"/>
      <c r="M76" s="9" t="str">
        <f aca="false">IFERROR(VLOOKUP(C76,categorieen!$D:$E,2,0),"")</f>
        <v>3 of 4 letters</v>
      </c>
      <c r="N76" s="9" t="str">
        <f aca="false">IFERROR(VLOOKUP(D76,categorieen!$D:$E,2,0),"")</f>
        <v>076 (Breda)</v>
      </c>
      <c r="O76" s="9" t="str">
        <f aca="false">IFERROR(VLOOKUP(E76,categorieen!$D:$E,2,0),"")</f>
        <v>Met ie</v>
      </c>
      <c r="P76" s="9" t="str">
        <f aca="false">IFERROR(VLOOKUP(F76,categorieen!$D:$E,2,0),"")</f>
        <v>Buurtschap</v>
      </c>
      <c r="Q76" s="9" t="str">
        <f aca="false">IFERROR(VLOOKUP(G76,categorieen!$D:$E,2,0),"")</f>
        <v>West Brabant</v>
      </c>
      <c r="R76" s="9" t="str">
        <f aca="false">IFERROR(VLOOKUP(H76,categorieen!$D:$E,2,0),"")</f>
        <v/>
      </c>
      <c r="S76" s="9" t="str">
        <f aca="false">IFERROR(VLOOKUP(I76,categorieen!$D:$E,2,0),"")</f>
        <v/>
      </c>
      <c r="T76" s="9" t="str">
        <f aca="false">IFERROR(VLOOKUP(J76,categorieen!$D:$E,2,0),"")</f>
        <v/>
      </c>
    </row>
    <row r="77" customFormat="false" ht="15" hidden="false" customHeight="false" outlineLevel="0" collapsed="false">
      <c r="A77" s="9" t="s">
        <v>109</v>
      </c>
      <c r="B77" s="9"/>
      <c r="C77" s="9" t="n">
        <v>42</v>
      </c>
      <c r="D77" s="9" t="n">
        <v>17</v>
      </c>
      <c r="E77" s="9" t="n">
        <v>32</v>
      </c>
      <c r="F77" s="9" t="n">
        <v>1</v>
      </c>
      <c r="G77" s="9" t="n">
        <v>26</v>
      </c>
      <c r="H77" s="9"/>
      <c r="I77" s="9"/>
      <c r="J77" s="9"/>
      <c r="K77" s="9"/>
      <c r="L77" s="9"/>
      <c r="M77" s="9" t="str">
        <f aca="false">IFERROR(VLOOKUP(C77,categorieen!$D:$E,2,0),"")</f>
        <v>7 letters</v>
      </c>
      <c r="N77" s="9" t="str">
        <f aca="false">IFERROR(VLOOKUP(D77,categorieen!$D:$E,2,0),"")</f>
        <v>Met dubbel s</v>
      </c>
      <c r="O77" s="9" t="str">
        <f aca="false">IFERROR(VLOOKUP(E77,categorieen!$D:$E,2,0),"")</f>
        <v>Met ie</v>
      </c>
      <c r="P77" s="9" t="str">
        <f aca="false">IFERROR(VLOOKUP(F77,categorieen!$D:$E,2,0),"")</f>
        <v>Eerste- en Eindletter hetzelfde</v>
      </c>
      <c r="Q77" s="9" t="str">
        <f aca="false">IFERROR(VLOOKUP(G77,categorieen!$D:$E,2,0),"")</f>
        <v>Eindigt op el</v>
      </c>
      <c r="R77" s="9" t="str">
        <f aca="false">IFERROR(VLOOKUP(H77,categorieen!$D:$E,2,0),"")</f>
        <v/>
      </c>
      <c r="S77" s="9" t="str">
        <f aca="false">IFERROR(VLOOKUP(I77,categorieen!$D:$E,2,0),"")</f>
        <v/>
      </c>
      <c r="T77" s="9" t="str">
        <f aca="false">IFERROR(VLOOKUP(J77,categorieen!$D:$E,2,0),"")</f>
        <v/>
      </c>
    </row>
    <row r="78" customFormat="false" ht="15" hidden="false" customHeight="false" outlineLevel="0" collapsed="false">
      <c r="A78" s="9" t="s">
        <v>110</v>
      </c>
      <c r="B78" s="9"/>
      <c r="C78" s="9" t="n">
        <v>13</v>
      </c>
      <c r="D78" s="9" t="n">
        <v>41</v>
      </c>
      <c r="E78" s="9"/>
      <c r="F78" s="9"/>
      <c r="G78" s="9"/>
      <c r="H78" s="9"/>
      <c r="I78" s="9"/>
      <c r="J78" s="9"/>
      <c r="K78" s="9"/>
      <c r="L78" s="9"/>
      <c r="M78" s="9" t="str">
        <f aca="false">IFERROR(VLOOKUP(C78,categorieen!$D:$E,2,0),"")</f>
        <v>Met dubbel T</v>
      </c>
      <c r="N78" s="9" t="str">
        <f aca="false">IFERROR(VLOOKUP(D78,categorieen!$D:$E,2,0),"")</f>
        <v>Vught</v>
      </c>
      <c r="O78" s="9" t="str">
        <f aca="false">IFERROR(VLOOKUP(E78,categorieen!$D:$E,2,0),"")</f>
        <v/>
      </c>
      <c r="P78" s="9" t="str">
        <f aca="false">IFERROR(VLOOKUP(F78,categorieen!$D:$E,2,0),"")</f>
        <v/>
      </c>
      <c r="Q78" s="9" t="str">
        <f aca="false">IFERROR(VLOOKUP(G78,categorieen!$D:$E,2,0),"")</f>
        <v/>
      </c>
      <c r="R78" s="9" t="str">
        <f aca="false">IFERROR(VLOOKUP(H78,categorieen!$D:$E,2,0),"")</f>
        <v/>
      </c>
      <c r="S78" s="9" t="str">
        <f aca="false">IFERROR(VLOOKUP(I78,categorieen!$D:$E,2,0),"")</f>
        <v/>
      </c>
      <c r="T78" s="9" t="str">
        <f aca="false">IFERROR(VLOOKUP(J78,categorieen!$D:$E,2,0),"")</f>
        <v/>
      </c>
    </row>
    <row r="79" customFormat="false" ht="15" hidden="false" customHeight="false" outlineLevel="0" collapsed="false">
      <c r="A79" s="9" t="s">
        <v>111</v>
      </c>
      <c r="B79" s="9"/>
      <c r="C79" s="9" t="n">
        <v>42</v>
      </c>
      <c r="D79" s="9" t="n">
        <v>14</v>
      </c>
      <c r="E79" s="9" t="n">
        <v>41</v>
      </c>
      <c r="F79" s="9"/>
      <c r="G79" s="9"/>
      <c r="H79" s="9"/>
      <c r="I79" s="9"/>
      <c r="J79" s="9"/>
      <c r="K79" s="9"/>
      <c r="L79" s="9"/>
      <c r="M79" s="9" t="str">
        <f aca="false">IFERROR(VLOOKUP(C79,categorieen!$D:$E,2,0),"")</f>
        <v>7 letters</v>
      </c>
      <c r="N79" s="9" t="str">
        <f aca="false">IFERROR(VLOOKUP(D79,categorieen!$D:$E,2,0),"")</f>
        <v>Kasteel</v>
      </c>
      <c r="O79" s="9" t="str">
        <f aca="false">IFERROR(VLOOKUP(E79,categorieen!$D:$E,2,0),"")</f>
        <v>Vught</v>
      </c>
      <c r="P79" s="9" t="str">
        <f aca="false">IFERROR(VLOOKUP(F79,categorieen!$D:$E,2,0),"")</f>
        <v/>
      </c>
      <c r="Q79" s="9" t="str">
        <f aca="false">IFERROR(VLOOKUP(G79,categorieen!$D:$E,2,0),"")</f>
        <v/>
      </c>
      <c r="R79" s="9" t="str">
        <f aca="false">IFERROR(VLOOKUP(H79,categorieen!$D:$E,2,0),"")</f>
        <v/>
      </c>
      <c r="S79" s="9" t="str">
        <f aca="false">IFERROR(VLOOKUP(I79,categorieen!$D:$E,2,0),"")</f>
        <v/>
      </c>
      <c r="T79" s="9" t="str">
        <f aca="false">IFERROR(VLOOKUP(J79,categorieen!$D:$E,2,0),"")</f>
        <v/>
      </c>
    </row>
    <row r="80" customFormat="false" ht="15" hidden="false" customHeight="false" outlineLevel="0" collapsed="false">
      <c r="A80" s="9" t="s">
        <v>112</v>
      </c>
      <c r="B80" s="9"/>
      <c r="C80" s="9" t="n">
        <v>38</v>
      </c>
      <c r="D80" s="9" t="n">
        <v>5</v>
      </c>
      <c r="E80" s="9" t="n">
        <v>22</v>
      </c>
      <c r="F80" s="9"/>
      <c r="G80" s="9"/>
      <c r="H80" s="9"/>
      <c r="I80" s="9"/>
      <c r="J80" s="9"/>
      <c r="K80" s="9"/>
      <c r="L80" s="9"/>
      <c r="M80" s="9" t="str">
        <f aca="false">IFERROR(VLOOKUP(C80,categorieen!$D:$E,2,0),"")</f>
        <v>Sport</v>
      </c>
      <c r="N80" s="9" t="str">
        <f aca="false">IFERROR(VLOOKUP(D80,categorieen!$D:$E,2,0),"")</f>
        <v>Bekende Brabanders</v>
      </c>
      <c r="O80" s="9" t="str">
        <f aca="false">IFERROR(VLOOKUP(E80,categorieen!$D:$E,2,0),"")</f>
        <v>3x dezelfde letter</v>
      </c>
      <c r="P80" s="9" t="str">
        <f aca="false">IFERROR(VLOOKUP(F80,categorieen!$D:$E,2,0),"")</f>
        <v/>
      </c>
      <c r="Q80" s="9" t="str">
        <f aca="false">IFERROR(VLOOKUP(G80,categorieen!$D:$E,2,0),"")</f>
        <v/>
      </c>
      <c r="R80" s="9" t="str">
        <f aca="false">IFERROR(VLOOKUP(H80,categorieen!$D:$E,2,0),"")</f>
        <v/>
      </c>
      <c r="S80" s="9" t="str">
        <f aca="false">IFERROR(VLOOKUP(I80,categorieen!$D:$E,2,0),"")</f>
        <v/>
      </c>
      <c r="T80" s="9" t="str">
        <f aca="false">IFERROR(VLOOKUP(J80,categorieen!$D:$E,2,0),"")</f>
        <v/>
      </c>
    </row>
    <row r="81" customFormat="false" ht="15" hidden="false" customHeight="false" outlineLevel="0" collapsed="false">
      <c r="A81" s="9" t="s">
        <v>113</v>
      </c>
      <c r="B81" s="9"/>
      <c r="C81" s="9" t="n">
        <v>19</v>
      </c>
      <c r="D81" s="9" t="n">
        <v>37</v>
      </c>
      <c r="E81" s="9" t="n">
        <v>13</v>
      </c>
      <c r="F81" s="9" t="n">
        <v>12</v>
      </c>
      <c r="G81" s="9"/>
      <c r="H81" s="9"/>
      <c r="I81" s="9"/>
      <c r="J81" s="9"/>
      <c r="K81" s="9"/>
      <c r="L81" s="9"/>
      <c r="M81" s="9" t="str">
        <f aca="false">IFERROR(VLOOKUP(C81,categorieen!$D:$E,2,0),"")</f>
        <v>Natuur</v>
      </c>
      <c r="N81" s="9" t="str">
        <f aca="false">IFERROR(VLOOKUP(D81,categorieen!$D:$E,2,0),"")</f>
        <v>s Hertogenbosch (DB)</v>
      </c>
      <c r="O81" s="9" t="str">
        <f aca="false">IFERROR(VLOOKUP(E81,categorieen!$D:$E,2,0),"")</f>
        <v>Met dubbel T</v>
      </c>
      <c r="P81" s="9" t="str">
        <f aca="false">IFERROR(VLOOKUP(F81,categorieen!$D:$E,2,0),"")</f>
        <v>Water</v>
      </c>
      <c r="Q81" s="9" t="str">
        <f aca="false">IFERROR(VLOOKUP(G81,categorieen!$D:$E,2,0),"")</f>
        <v/>
      </c>
      <c r="R81" s="9" t="str">
        <f aca="false">IFERROR(VLOOKUP(H81,categorieen!$D:$E,2,0),"")</f>
        <v/>
      </c>
      <c r="S81" s="9" t="str">
        <f aca="false">IFERROR(VLOOKUP(I81,categorieen!$D:$E,2,0),"")</f>
        <v/>
      </c>
      <c r="T81" s="9" t="str">
        <f aca="false">IFERROR(VLOOKUP(J81,categorieen!$D:$E,2,0),"")</f>
        <v/>
      </c>
    </row>
    <row r="82" customFormat="false" ht="15" hidden="false" customHeight="false" outlineLevel="0" collapsed="false">
      <c r="A82" s="9" t="s">
        <v>114</v>
      </c>
      <c r="B82" s="9"/>
      <c r="C82" s="9" t="n">
        <v>24</v>
      </c>
      <c r="D82" s="9" t="n">
        <v>38</v>
      </c>
      <c r="E82" s="9" t="n">
        <v>33</v>
      </c>
      <c r="F82" s="9" t="n">
        <v>23</v>
      </c>
      <c r="G82" s="9"/>
      <c r="H82" s="9"/>
      <c r="I82" s="9"/>
      <c r="J82" s="9"/>
      <c r="K82" s="9"/>
      <c r="L82" s="9"/>
      <c r="M82" s="9" t="str">
        <f aca="false">IFERROR(VLOOKUP(C82,categorieen!$D:$E,2,0),"")</f>
        <v>3 of 4 letters</v>
      </c>
      <c r="N82" s="9" t="str">
        <f aca="false">IFERROR(VLOOKUP(D82,categorieen!$D:$E,2,0),"")</f>
        <v>Sport</v>
      </c>
      <c r="O82" s="9" t="str">
        <f aca="false">IFERROR(VLOOKUP(E82,categorieen!$D:$E,2,0),"")</f>
        <v>076 (Breda)</v>
      </c>
      <c r="P82" s="9" t="str">
        <f aca="false">IFERROR(VLOOKUP(F82,categorieen!$D:$E,2,0),"")</f>
        <v>Begint met N</v>
      </c>
      <c r="Q82" s="9" t="str">
        <f aca="false">IFERROR(VLOOKUP(G82,categorieen!$D:$E,2,0),"")</f>
        <v/>
      </c>
      <c r="R82" s="9" t="str">
        <f aca="false">IFERROR(VLOOKUP(H82,categorieen!$D:$E,2,0),"")</f>
        <v/>
      </c>
      <c r="S82" s="9" t="str">
        <f aca="false">IFERROR(VLOOKUP(I82,categorieen!$D:$E,2,0),"")</f>
        <v/>
      </c>
      <c r="T82" s="9" t="str">
        <f aca="false">IFERROR(VLOOKUP(J82,categorieen!$D:$E,2,0),"")</f>
        <v/>
      </c>
    </row>
    <row r="83" customFormat="false" ht="15" hidden="false" customHeight="false" outlineLevel="0" collapsed="false">
      <c r="A83" s="9" t="s">
        <v>115</v>
      </c>
      <c r="B83" s="9"/>
      <c r="C83" s="9" t="n">
        <v>14</v>
      </c>
      <c r="D83" s="9" t="n">
        <v>23</v>
      </c>
      <c r="E83" s="9" t="n">
        <v>2</v>
      </c>
      <c r="F83" s="9" t="n">
        <v>22</v>
      </c>
      <c r="G83" s="9"/>
      <c r="H83" s="9"/>
      <c r="I83" s="9"/>
      <c r="J83" s="9"/>
      <c r="K83" s="9"/>
      <c r="L83" s="9"/>
      <c r="M83" s="9" t="str">
        <f aca="false">IFERROR(VLOOKUP(C83,categorieen!$D:$E,2,0),"")</f>
        <v>Kasteel</v>
      </c>
      <c r="N83" s="9" t="str">
        <f aca="false">IFERROR(VLOOKUP(D83,categorieen!$D:$E,2,0),"")</f>
        <v>Begint met N</v>
      </c>
      <c r="O83" s="9" t="str">
        <f aca="false">IFERROR(VLOOKUP(E83,categorieen!$D:$E,2,0),"")</f>
        <v>(stand)beeld / (Rijks)monument</v>
      </c>
      <c r="P83" s="9" t="str">
        <f aca="false">IFERROR(VLOOKUP(F83,categorieen!$D:$E,2,0),"")</f>
        <v>3x dezelfde letter</v>
      </c>
      <c r="Q83" s="9" t="str">
        <f aca="false">IFERROR(VLOOKUP(G83,categorieen!$D:$E,2,0),"")</f>
        <v/>
      </c>
      <c r="R83" s="9" t="str">
        <f aca="false">IFERROR(VLOOKUP(H83,categorieen!$D:$E,2,0),"")</f>
        <v/>
      </c>
      <c r="S83" s="9" t="str">
        <f aca="false">IFERROR(VLOOKUP(I83,categorieen!$D:$E,2,0),"")</f>
        <v/>
      </c>
      <c r="T83" s="9" t="str">
        <f aca="false">IFERROR(VLOOKUP(J83,categorieen!$D:$E,2,0),"")</f>
        <v/>
      </c>
    </row>
    <row r="84" customFormat="false" ht="15" hidden="false" customHeight="false" outlineLevel="0" collapsed="false">
      <c r="A84" s="9" t="s">
        <v>116</v>
      </c>
      <c r="B84" s="9"/>
      <c r="C84" s="9" t="n">
        <v>23</v>
      </c>
      <c r="D84" s="9" t="n">
        <v>21</v>
      </c>
      <c r="E84" s="9" t="n">
        <v>32</v>
      </c>
      <c r="F84" s="9" t="n">
        <v>43</v>
      </c>
      <c r="G84" s="9"/>
      <c r="H84" s="9"/>
      <c r="I84" s="9"/>
      <c r="J84" s="9"/>
      <c r="K84" s="9"/>
      <c r="L84" s="9"/>
      <c r="M84" s="9" t="str">
        <f aca="false">IFERROR(VLOOKUP(C84,categorieen!$D:$E,2,0),"")</f>
        <v>Begint met N</v>
      </c>
      <c r="N84" s="9" t="str">
        <f aca="false">IFERROR(VLOOKUP(D84,categorieen!$D:$E,2,0),"")</f>
        <v>West Brabant</v>
      </c>
      <c r="O84" s="9" t="str">
        <f aca="false">IFERROR(VLOOKUP(E84,categorieen!$D:$E,2,0),"")</f>
        <v>Met ie</v>
      </c>
      <c r="P84" s="9" t="str">
        <f aca="false">IFERROR(VLOOKUP(F84,categorieen!$D:$E,2,0),"")</f>
        <v>Dierlijk</v>
      </c>
      <c r="Q84" s="9" t="str">
        <f aca="false">IFERROR(VLOOKUP(G84,categorieen!$D:$E,2,0),"")</f>
        <v/>
      </c>
      <c r="R84" s="9" t="str">
        <f aca="false">IFERROR(VLOOKUP(H84,categorieen!$D:$E,2,0),"")</f>
        <v/>
      </c>
      <c r="S84" s="9" t="str">
        <f aca="false">IFERROR(VLOOKUP(I84,categorieen!$D:$E,2,0),"")</f>
        <v/>
      </c>
      <c r="T84" s="9" t="str">
        <f aca="false">IFERROR(VLOOKUP(J84,categorieen!$D:$E,2,0),"")</f>
        <v/>
      </c>
    </row>
    <row r="85" customFormat="false" ht="15" hidden="false" customHeight="false" outlineLevel="0" collapsed="false">
      <c r="A85" s="9" t="s">
        <v>117</v>
      </c>
      <c r="B85" s="9"/>
      <c r="C85" s="9" t="n">
        <v>23</v>
      </c>
      <c r="D85" s="9" t="n">
        <v>4</v>
      </c>
      <c r="E85" s="9" t="n">
        <v>16</v>
      </c>
      <c r="F85" s="9"/>
      <c r="G85" s="9"/>
      <c r="H85" s="9"/>
      <c r="I85" s="9"/>
      <c r="J85" s="9"/>
      <c r="K85" s="9"/>
      <c r="L85" s="9"/>
      <c r="M85" s="9" t="str">
        <f aca="false">IFERROR(VLOOKUP(C85,categorieen!$D:$E,2,0),"")</f>
        <v>Begint met N</v>
      </c>
      <c r="N85" s="9" t="str">
        <f aca="false">IFERROR(VLOOKUP(D85,categorieen!$D:$E,2,0),"")</f>
        <v>Zes letters</v>
      </c>
      <c r="O85" s="9" t="str">
        <f aca="false">IFERROR(VLOOKUP(E85,categorieen!$D:$E,2,0),"")</f>
        <v>Buurtschap</v>
      </c>
      <c r="P85" s="9" t="str">
        <f aca="false">IFERROR(VLOOKUP(F85,categorieen!$D:$E,2,0),"")</f>
        <v/>
      </c>
      <c r="Q85" s="9" t="str">
        <f aca="false">IFERROR(VLOOKUP(G85,categorieen!$D:$E,2,0),"")</f>
        <v/>
      </c>
      <c r="R85" s="9" t="str">
        <f aca="false">IFERROR(VLOOKUP(H85,categorieen!$D:$E,2,0),"")</f>
        <v/>
      </c>
      <c r="S85" s="9" t="str">
        <f aca="false">IFERROR(VLOOKUP(I85,categorieen!$D:$E,2,0),"")</f>
        <v/>
      </c>
      <c r="T85" s="9" t="str">
        <f aca="false">IFERROR(VLOOKUP(J85,categorieen!$D:$E,2,0),"")</f>
        <v/>
      </c>
    </row>
    <row r="86" customFormat="false" ht="15" hidden="false" customHeight="false" outlineLevel="0" collapsed="false">
      <c r="A86" s="9" t="s">
        <v>118</v>
      </c>
      <c r="B86" s="9"/>
      <c r="C86" s="9" t="n">
        <v>23</v>
      </c>
      <c r="D86" s="9" t="n">
        <v>34</v>
      </c>
      <c r="E86" s="9"/>
      <c r="F86" s="9"/>
      <c r="G86" s="9"/>
      <c r="H86" s="9"/>
      <c r="I86" s="9"/>
      <c r="J86" s="9"/>
      <c r="K86" s="9"/>
      <c r="L86" s="9"/>
      <c r="M86" s="9" t="str">
        <f aca="false">IFERROR(VLOOKUP(C86,categorieen!$D:$E,2,0),"")</f>
        <v>Begint met N</v>
      </c>
      <c r="N86" s="9" t="str">
        <f aca="false">IFERROR(VLOOKUP(D86,categorieen!$D:$E,2,0),"")</f>
        <v>Met 4 Wieken</v>
      </c>
      <c r="O86" s="9" t="str">
        <f aca="false">IFERROR(VLOOKUP(E86,categorieen!$D:$E,2,0),"")</f>
        <v/>
      </c>
      <c r="P86" s="9" t="str">
        <f aca="false">IFERROR(VLOOKUP(F86,categorieen!$D:$E,2,0),"")</f>
        <v/>
      </c>
      <c r="Q86" s="9" t="str">
        <f aca="false">IFERROR(VLOOKUP(G86,categorieen!$D:$E,2,0),"")</f>
        <v/>
      </c>
      <c r="R86" s="9" t="str">
        <f aca="false">IFERROR(VLOOKUP(H86,categorieen!$D:$E,2,0),"")</f>
        <v/>
      </c>
      <c r="S86" s="9" t="str">
        <f aca="false">IFERROR(VLOOKUP(I86,categorieen!$D:$E,2,0),"")</f>
        <v/>
      </c>
      <c r="T86" s="9" t="str">
        <f aca="false">IFERROR(VLOOKUP(J86,categorieen!$D:$E,2,0),"")</f>
        <v/>
      </c>
    </row>
    <row r="87" customFormat="false" ht="15" hidden="false" customHeight="false" outlineLevel="0" collapsed="false">
      <c r="A87" s="9" t="s">
        <v>119</v>
      </c>
      <c r="B87" s="9"/>
      <c r="C87" s="9" t="n">
        <v>23</v>
      </c>
      <c r="D87" s="9" t="n">
        <v>22</v>
      </c>
      <c r="E87" s="9" t="n">
        <v>16</v>
      </c>
      <c r="F87" s="9" t="n">
        <v>21</v>
      </c>
      <c r="G87" s="9"/>
      <c r="H87" s="9"/>
      <c r="I87" s="9"/>
      <c r="J87" s="9"/>
      <c r="K87" s="9"/>
      <c r="L87" s="9"/>
      <c r="M87" s="9" t="str">
        <f aca="false">IFERROR(VLOOKUP(C87,categorieen!$D:$E,2,0),"")</f>
        <v>Begint met N</v>
      </c>
      <c r="N87" s="9" t="str">
        <f aca="false">IFERROR(VLOOKUP(D87,categorieen!$D:$E,2,0),"")</f>
        <v>3x dezelfde letter</v>
      </c>
      <c r="O87" s="9" t="str">
        <f aca="false">IFERROR(VLOOKUP(E87,categorieen!$D:$E,2,0),"")</f>
        <v>Buurtschap</v>
      </c>
      <c r="P87" s="9" t="str">
        <f aca="false">IFERROR(VLOOKUP(F87,categorieen!$D:$E,2,0),"")</f>
        <v>West Brabant</v>
      </c>
      <c r="Q87" s="9" t="str">
        <f aca="false">IFERROR(VLOOKUP(G87,categorieen!$D:$E,2,0),"")</f>
        <v/>
      </c>
      <c r="R87" s="9" t="str">
        <f aca="false">IFERROR(VLOOKUP(H87,categorieen!$D:$E,2,0),"")</f>
        <v/>
      </c>
      <c r="S87" s="9" t="str">
        <f aca="false">IFERROR(VLOOKUP(I87,categorieen!$D:$E,2,0),"")</f>
        <v/>
      </c>
      <c r="T87" s="9" t="str">
        <f aca="false">IFERROR(VLOOKUP(J87,categorieen!$D:$E,2,0),"")</f>
        <v/>
      </c>
    </row>
    <row r="88" customFormat="false" ht="15" hidden="false" customHeight="false" outlineLevel="0" collapsed="false">
      <c r="A88" s="9" t="s">
        <v>120</v>
      </c>
      <c r="B88" s="9"/>
      <c r="C88" s="9" t="n">
        <v>23</v>
      </c>
      <c r="D88" s="9" t="n">
        <v>42</v>
      </c>
      <c r="E88" s="9" t="n">
        <v>1</v>
      </c>
      <c r="F88" s="9" t="n">
        <v>8</v>
      </c>
      <c r="G88" s="9" t="n">
        <v>4</v>
      </c>
      <c r="H88" s="9"/>
      <c r="I88" s="9"/>
      <c r="J88" s="9"/>
      <c r="K88" s="9"/>
      <c r="L88" s="9"/>
      <c r="M88" s="9" t="str">
        <f aca="false">IFERROR(VLOOKUP(C88,categorieen!$D:$E,2,0),"")</f>
        <v>Begint met N</v>
      </c>
      <c r="N88" s="9" t="str">
        <f aca="false">IFERROR(VLOOKUP(D88,categorieen!$D:$E,2,0),"")</f>
        <v>7 letters</v>
      </c>
      <c r="O88" s="9" t="str">
        <f aca="false">IFERROR(VLOOKUP(E88,categorieen!$D:$E,2,0),"")</f>
        <v>Eerste- en Eindletter hetzelfde</v>
      </c>
      <c r="P88" s="9" t="str">
        <f aca="false">IFERROR(VLOOKUP(F88,categorieen!$D:$E,2,0),"")</f>
        <v>040 (Eindhoven)</v>
      </c>
      <c r="Q88" s="9" t="str">
        <f aca="false">IFERROR(VLOOKUP(G88,categorieen!$D:$E,2,0),"")</f>
        <v>Zes letters</v>
      </c>
      <c r="R88" s="9" t="str">
        <f aca="false">IFERROR(VLOOKUP(H88,categorieen!$D:$E,2,0),"")</f>
        <v/>
      </c>
      <c r="S88" s="9" t="str">
        <f aca="false">IFERROR(VLOOKUP(I88,categorieen!$D:$E,2,0),"")</f>
        <v/>
      </c>
      <c r="T88" s="9" t="str">
        <f aca="false">IFERROR(VLOOKUP(J88,categorieen!$D:$E,2,0),"")</f>
        <v/>
      </c>
    </row>
    <row r="89" customFormat="false" ht="15" hidden="false" customHeight="false" outlineLevel="0" collapsed="false">
      <c r="A89" s="9" t="s">
        <v>121</v>
      </c>
      <c r="B89" s="9"/>
      <c r="C89" s="9" t="n">
        <v>37</v>
      </c>
      <c r="D89" s="9" t="n">
        <v>12</v>
      </c>
      <c r="E89" s="9" t="n">
        <v>19</v>
      </c>
      <c r="F89" s="9"/>
      <c r="G89" s="9"/>
      <c r="H89" s="9"/>
      <c r="I89" s="9"/>
      <c r="J89" s="9"/>
      <c r="K89" s="9"/>
      <c r="L89" s="9"/>
      <c r="M89" s="9" t="str">
        <f aca="false">IFERROR(VLOOKUP(C89,categorieen!$D:$E,2,0),"")</f>
        <v>s Hertogenbosch (DB)</v>
      </c>
      <c r="N89" s="9" t="str">
        <f aca="false">IFERROR(VLOOKUP(D89,categorieen!$D:$E,2,0),"")</f>
        <v>Water</v>
      </c>
      <c r="O89" s="9" t="str">
        <f aca="false">IFERROR(VLOOKUP(E89,categorieen!$D:$E,2,0),"")</f>
        <v>Natuur</v>
      </c>
      <c r="P89" s="9" t="str">
        <f aca="false">IFERROR(VLOOKUP(F89,categorieen!$D:$E,2,0),"")</f>
        <v/>
      </c>
      <c r="Q89" s="9" t="str">
        <f aca="false">IFERROR(VLOOKUP(G89,categorieen!$D:$E,2,0),"")</f>
        <v/>
      </c>
      <c r="R89" s="9" t="str">
        <f aca="false">IFERROR(VLOOKUP(H89,categorieen!$D:$E,2,0),"")</f>
        <v/>
      </c>
      <c r="S89" s="9" t="str">
        <f aca="false">IFERROR(VLOOKUP(I89,categorieen!$D:$E,2,0),"")</f>
        <v/>
      </c>
      <c r="T89" s="9" t="str">
        <f aca="false">IFERROR(VLOOKUP(J89,categorieen!$D:$E,2,0),"")</f>
        <v/>
      </c>
    </row>
    <row r="90" customFormat="false" ht="15" hidden="false" customHeight="false" outlineLevel="0" collapsed="false">
      <c r="A90" s="9" t="s">
        <v>122</v>
      </c>
      <c r="B90" s="9"/>
      <c r="C90" s="9" t="n">
        <v>24</v>
      </c>
      <c r="D90" s="9" t="n">
        <v>17</v>
      </c>
      <c r="E90" s="9" t="n">
        <v>43</v>
      </c>
      <c r="F90" s="9"/>
      <c r="G90" s="9"/>
      <c r="H90" s="9"/>
      <c r="I90" s="9"/>
      <c r="J90" s="9"/>
      <c r="K90" s="9"/>
      <c r="L90" s="9"/>
      <c r="M90" s="9" t="str">
        <f aca="false">IFERROR(VLOOKUP(C90,categorieen!$D:$E,2,0),"")</f>
        <v>3 of 4 letters</v>
      </c>
      <c r="N90" s="9" t="str">
        <f aca="false">IFERROR(VLOOKUP(D90,categorieen!$D:$E,2,0),"")</f>
        <v>Met dubbel s</v>
      </c>
      <c r="O90" s="9" t="str">
        <f aca="false">IFERROR(VLOOKUP(E90,categorieen!$D:$E,2,0),"")</f>
        <v>Dierlijk</v>
      </c>
      <c r="P90" s="9" t="str">
        <f aca="false">IFERROR(VLOOKUP(F90,categorieen!$D:$E,2,0),"")</f>
        <v/>
      </c>
      <c r="Q90" s="9" t="str">
        <f aca="false">IFERROR(VLOOKUP(G90,categorieen!$D:$E,2,0),"")</f>
        <v/>
      </c>
      <c r="R90" s="9" t="str">
        <f aca="false">IFERROR(VLOOKUP(H90,categorieen!$D:$E,2,0),"")</f>
        <v/>
      </c>
      <c r="S90" s="9" t="str">
        <f aca="false">IFERROR(VLOOKUP(I90,categorieen!$D:$E,2,0),"")</f>
        <v/>
      </c>
      <c r="T90" s="9" t="str">
        <f aca="false">IFERROR(VLOOKUP(J90,categorieen!$D:$E,2,0),"")</f>
        <v/>
      </c>
    </row>
    <row r="91" customFormat="false" ht="15" hidden="false" customHeight="false" outlineLevel="0" collapsed="false">
      <c r="A91" s="14" t="s">
        <v>123</v>
      </c>
      <c r="B91" s="9"/>
      <c r="C91" s="10" t="n">
        <v>20</v>
      </c>
      <c r="D91" s="10" t="n">
        <v>1</v>
      </c>
      <c r="E91" s="9" t="n">
        <v>22</v>
      </c>
      <c r="F91" s="9"/>
      <c r="G91" s="9"/>
      <c r="H91" s="9"/>
      <c r="I91" s="9"/>
      <c r="J91" s="9"/>
      <c r="K91" s="9"/>
      <c r="L91" s="9"/>
      <c r="M91" s="9" t="str">
        <f aca="false">IFERROR(VLOOKUP(C91,categorieen!$D:$E,2,0),"")</f>
        <v>Festival</v>
      </c>
      <c r="N91" s="9" t="str">
        <f aca="false">IFERROR(VLOOKUP(D91,categorieen!$D:$E,2,0),"")</f>
        <v>Eerste- en Eindletter hetzelfde</v>
      </c>
      <c r="O91" s="9" t="str">
        <f aca="false">IFERROR(VLOOKUP(E91,categorieen!$D:$E,2,0),"")</f>
        <v>3x dezelfde letter</v>
      </c>
      <c r="P91" s="9" t="str">
        <f aca="false">IFERROR(VLOOKUP(F91,categorieen!$D:$E,2,0),"")</f>
        <v/>
      </c>
      <c r="Q91" s="9" t="str">
        <f aca="false">IFERROR(VLOOKUP(G91,categorieen!$D:$E,2,0),"")</f>
        <v/>
      </c>
      <c r="R91" s="9" t="str">
        <f aca="false">IFERROR(VLOOKUP(H91,categorieen!$D:$E,2,0),"")</f>
        <v/>
      </c>
      <c r="S91" s="9" t="str">
        <f aca="false">IFERROR(VLOOKUP(I91,categorieen!$D:$E,2,0),"")</f>
        <v/>
      </c>
      <c r="T91" s="9" t="str">
        <f aca="false">IFERROR(VLOOKUP(J91,categorieen!$D:$E,2,0),"")</f>
        <v/>
      </c>
    </row>
    <row r="92" customFormat="false" ht="15" hidden="false" customHeight="false" outlineLevel="0" collapsed="false">
      <c r="A92" s="9" t="s">
        <v>124</v>
      </c>
      <c r="B92" s="9"/>
      <c r="C92" s="9" t="n">
        <v>1</v>
      </c>
      <c r="D92" s="9" t="n">
        <v>8</v>
      </c>
      <c r="E92" s="9" t="n">
        <v>39</v>
      </c>
      <c r="F92" s="9"/>
      <c r="G92" s="9"/>
      <c r="H92" s="9"/>
      <c r="I92" s="9"/>
      <c r="J92" s="9"/>
      <c r="K92" s="9"/>
      <c r="L92" s="9"/>
      <c r="M92" s="9" t="str">
        <f aca="false">IFERROR(VLOOKUP(C92,categorieen!$D:$E,2,0),"")</f>
        <v>Eerste- en Eindletter hetzelfde</v>
      </c>
      <c r="N92" s="9" t="str">
        <f aca="false">IFERROR(VLOOKUP(D92,categorieen!$D:$E,2,0),"")</f>
        <v>040 (Eindhoven)</v>
      </c>
      <c r="O92" s="9" t="str">
        <f aca="false">IFERROR(VLOOKUP(E92,categorieen!$D:$E,2,0),"")</f>
        <v>Theater</v>
      </c>
      <c r="P92" s="9" t="str">
        <f aca="false">IFERROR(VLOOKUP(F92,categorieen!$D:$E,2,0),"")</f>
        <v/>
      </c>
      <c r="Q92" s="9" t="str">
        <f aca="false">IFERROR(VLOOKUP(G92,categorieen!$D:$E,2,0),"")</f>
        <v/>
      </c>
      <c r="R92" s="9" t="str">
        <f aca="false">IFERROR(VLOOKUP(H92,categorieen!$D:$E,2,0),"")</f>
        <v/>
      </c>
      <c r="S92" s="9" t="str">
        <f aca="false">IFERROR(VLOOKUP(I92,categorieen!$D:$E,2,0),"")</f>
        <v/>
      </c>
      <c r="T92" s="9" t="str">
        <f aca="false">IFERROR(VLOOKUP(J92,categorieen!$D:$E,2,0),"")</f>
        <v/>
      </c>
    </row>
    <row r="93" customFormat="false" ht="15" hidden="false" customHeight="false" outlineLevel="0" collapsed="false">
      <c r="A93" s="10" t="s">
        <v>125</v>
      </c>
      <c r="B93" s="9"/>
      <c r="C93" s="9" t="n">
        <v>20</v>
      </c>
      <c r="D93" s="9" t="n">
        <v>1</v>
      </c>
      <c r="E93" s="9" t="n">
        <v>31</v>
      </c>
      <c r="F93" s="9"/>
      <c r="G93" s="9"/>
      <c r="H93" s="9"/>
      <c r="I93" s="9"/>
      <c r="J93" s="9"/>
      <c r="K93" s="9"/>
      <c r="L93" s="9"/>
      <c r="M93" s="9" t="str">
        <f aca="false">IFERROR(VLOOKUP(C93,categorieen!$D:$E,2,0),"")</f>
        <v>Festival</v>
      </c>
      <c r="N93" s="9" t="str">
        <f aca="false">IFERROR(VLOOKUP(D93,categorieen!$D:$E,2,0),"")</f>
        <v>Eerste- en Eindletter hetzelfde</v>
      </c>
      <c r="O93" s="9" t="str">
        <f aca="false">IFERROR(VLOOKUP(E93,categorieen!$D:$E,2,0),"")</f>
        <v>Kleurrijk</v>
      </c>
      <c r="P93" s="9" t="str">
        <f aca="false">IFERROR(VLOOKUP(F93,categorieen!$D:$E,2,0),"")</f>
        <v/>
      </c>
      <c r="Q93" s="9" t="str">
        <f aca="false">IFERROR(VLOOKUP(G93,categorieen!$D:$E,2,0),"")</f>
        <v/>
      </c>
      <c r="R93" s="9" t="str">
        <f aca="false">IFERROR(VLOOKUP(H93,categorieen!$D:$E,2,0),"")</f>
        <v/>
      </c>
      <c r="S93" s="9" t="str">
        <f aca="false">IFERROR(VLOOKUP(I93,categorieen!$D:$E,2,0),"")</f>
        <v/>
      </c>
      <c r="T93" s="9" t="str">
        <f aca="false">IFERROR(VLOOKUP(J93,categorieen!$D:$E,2,0),"")</f>
        <v/>
      </c>
    </row>
    <row r="94" customFormat="false" ht="15" hidden="false" customHeight="false" outlineLevel="0" collapsed="false">
      <c r="A94" s="9" t="s">
        <v>126</v>
      </c>
      <c r="B94" s="9"/>
      <c r="C94" s="9" t="n">
        <v>7</v>
      </c>
      <c r="D94" s="9" t="n">
        <v>4</v>
      </c>
      <c r="E94" s="9" t="n">
        <v>30</v>
      </c>
      <c r="F94" s="9"/>
      <c r="G94" s="9"/>
      <c r="H94" s="9"/>
      <c r="I94" s="9"/>
      <c r="J94" s="9"/>
      <c r="K94" s="9"/>
      <c r="L94" s="9"/>
      <c r="M94" s="9" t="str">
        <f aca="false">IFERROR(VLOOKUP(C94,categorieen!$D:$E,2,0),"")</f>
        <v>Alaaf</v>
      </c>
      <c r="N94" s="9" t="str">
        <f aca="false">IFERROR(VLOOKUP(D94,categorieen!$D:$E,2,0),"")</f>
        <v>Zes letters</v>
      </c>
      <c r="O94" s="9" t="str">
        <f aca="false">IFERROR(VLOOKUP(E94,categorieen!$D:$E,2,0),"")</f>
        <v>In de volksmond (IDV)</v>
      </c>
      <c r="P94" s="9" t="str">
        <f aca="false">IFERROR(VLOOKUP(F94,categorieen!$D:$E,2,0),"")</f>
        <v/>
      </c>
      <c r="Q94" s="9" t="str">
        <f aca="false">IFERROR(VLOOKUP(G94,categorieen!$D:$E,2,0),"")</f>
        <v/>
      </c>
      <c r="R94" s="9" t="str">
        <f aca="false">IFERROR(VLOOKUP(H94,categorieen!$D:$E,2,0),"")</f>
        <v/>
      </c>
      <c r="S94" s="9" t="str">
        <f aca="false">IFERROR(VLOOKUP(I94,categorieen!$D:$E,2,0),"")</f>
        <v/>
      </c>
      <c r="T94" s="9" t="str">
        <f aca="false">IFERROR(VLOOKUP(J94,categorieen!$D:$E,2,0),"")</f>
        <v/>
      </c>
    </row>
    <row r="95" customFormat="false" ht="15" hidden="false" customHeight="false" outlineLevel="0" collapsed="false">
      <c r="A95" s="9" t="s">
        <v>127</v>
      </c>
      <c r="B95" s="9"/>
      <c r="C95" s="9" t="n">
        <v>30</v>
      </c>
      <c r="D95" s="9" t="n">
        <v>7</v>
      </c>
      <c r="E95" s="9"/>
      <c r="F95" s="9"/>
      <c r="G95" s="9"/>
      <c r="H95" s="9"/>
      <c r="I95" s="9"/>
      <c r="J95" s="9"/>
      <c r="K95" s="9"/>
      <c r="L95" s="9"/>
      <c r="M95" s="9" t="str">
        <f aca="false">IFERROR(VLOOKUP(C95,categorieen!$D:$E,2,0),"")</f>
        <v>In de volksmond (IDV)</v>
      </c>
      <c r="N95" s="9" t="str">
        <f aca="false">IFERROR(VLOOKUP(D95,categorieen!$D:$E,2,0),"")</f>
        <v>Alaaf</v>
      </c>
      <c r="O95" s="9" t="str">
        <f aca="false">IFERROR(VLOOKUP(E95,categorieen!$D:$E,2,0),"")</f>
        <v/>
      </c>
      <c r="P95" s="9" t="str">
        <f aca="false">IFERROR(VLOOKUP(F95,categorieen!$D:$E,2,0),"")</f>
        <v/>
      </c>
      <c r="Q95" s="9" t="str">
        <f aca="false">IFERROR(VLOOKUP(G95,categorieen!$D:$E,2,0),"")</f>
        <v/>
      </c>
      <c r="R95" s="9" t="str">
        <f aca="false">IFERROR(VLOOKUP(H95,categorieen!$D:$E,2,0),"")</f>
        <v/>
      </c>
      <c r="S95" s="9" t="str">
        <f aca="false">IFERROR(VLOOKUP(I95,categorieen!$D:$E,2,0),"")</f>
        <v/>
      </c>
      <c r="T95" s="9" t="str">
        <f aca="false">IFERROR(VLOOKUP(J95,categorieen!$D:$E,2,0),"")</f>
        <v/>
      </c>
    </row>
    <row r="96" customFormat="false" ht="15" hidden="false" customHeight="false" outlineLevel="0" collapsed="false">
      <c r="A96" s="9" t="s">
        <v>128</v>
      </c>
      <c r="B96" s="9"/>
      <c r="C96" s="9" t="n">
        <v>28</v>
      </c>
      <c r="D96" s="9" t="n">
        <v>11</v>
      </c>
      <c r="E96" s="9" t="n">
        <v>22</v>
      </c>
      <c r="F96" s="9" t="n">
        <v>41</v>
      </c>
      <c r="G96" s="9"/>
      <c r="H96" s="9"/>
      <c r="I96" s="9"/>
      <c r="J96" s="9"/>
      <c r="K96" s="9"/>
      <c r="L96" s="9"/>
      <c r="M96" s="9" t="str">
        <f aca="false">IFERROR(VLOOKUP(C96,categorieen!$D:$E,2,0),"")</f>
        <v>Heilige</v>
      </c>
      <c r="N96" s="9" t="str">
        <f aca="false">IFERROR(VLOOKUP(D96,categorieen!$D:$E,2,0),"")</f>
        <v>Tilburg</v>
      </c>
      <c r="O96" s="9" t="str">
        <f aca="false">IFERROR(VLOOKUP(E96,categorieen!$D:$E,2,0),"")</f>
        <v>3x dezelfde letter</v>
      </c>
      <c r="P96" s="9" t="str">
        <f aca="false">IFERROR(VLOOKUP(F96,categorieen!$D:$E,2,0),"")</f>
        <v>Vught</v>
      </c>
      <c r="Q96" s="9" t="str">
        <f aca="false">IFERROR(VLOOKUP(G96,categorieen!$D:$E,2,0),"")</f>
        <v/>
      </c>
      <c r="R96" s="9" t="str">
        <f aca="false">IFERROR(VLOOKUP(H96,categorieen!$D:$E,2,0),"")</f>
        <v/>
      </c>
      <c r="S96" s="9" t="str">
        <f aca="false">IFERROR(VLOOKUP(I96,categorieen!$D:$E,2,0),"")</f>
        <v/>
      </c>
      <c r="T96" s="9" t="str">
        <f aca="false">IFERROR(VLOOKUP(J96,categorieen!$D:$E,2,0),"")</f>
        <v/>
      </c>
    </row>
    <row r="97" customFormat="false" ht="15" hidden="false" customHeight="false" outlineLevel="0" collapsed="false">
      <c r="A97" s="9" t="s">
        <v>129</v>
      </c>
      <c r="B97" s="9"/>
      <c r="C97" s="9" t="n">
        <v>38</v>
      </c>
      <c r="D97" s="9" t="n">
        <v>22</v>
      </c>
      <c r="E97" s="9" t="n">
        <v>18</v>
      </c>
      <c r="F97" s="9" t="n">
        <v>17</v>
      </c>
      <c r="G97" s="9" t="n">
        <v>43</v>
      </c>
      <c r="H97" s="9" t="n">
        <v>32</v>
      </c>
      <c r="I97" s="9"/>
      <c r="J97" s="9"/>
      <c r="K97" s="9"/>
      <c r="L97" s="9"/>
      <c r="M97" s="9" t="str">
        <f aca="false">IFERROR(VLOOKUP(C97,categorieen!$D:$E,2,0),"")</f>
        <v>Sport</v>
      </c>
      <c r="N97" s="9" t="str">
        <f aca="false">IFERROR(VLOOKUP(D97,categorieen!$D:$E,2,0),"")</f>
        <v>3x dezelfde letter</v>
      </c>
      <c r="O97" s="9" t="str">
        <f aca="false">IFERROR(VLOOKUP(E97,categorieen!$D:$E,2,0),"")</f>
        <v>Willem II</v>
      </c>
      <c r="P97" s="9" t="str">
        <f aca="false">IFERROR(VLOOKUP(F97,categorieen!$D:$E,2,0),"")</f>
        <v>Met dubbel s</v>
      </c>
      <c r="Q97" s="9" t="str">
        <f aca="false">IFERROR(VLOOKUP(G97,categorieen!$D:$E,2,0),"")</f>
        <v>Dierlijk</v>
      </c>
      <c r="R97" s="9" t="str">
        <f aca="false">IFERROR(VLOOKUP(H97,categorieen!$D:$E,2,0),"")</f>
        <v>Met ie</v>
      </c>
      <c r="S97" s="9" t="str">
        <f aca="false">IFERROR(VLOOKUP(I97,categorieen!$D:$E,2,0),"")</f>
        <v/>
      </c>
      <c r="T97" s="9" t="str">
        <f aca="false">IFERROR(VLOOKUP(J97,categorieen!$D:$E,2,0),"")</f>
        <v/>
      </c>
    </row>
    <row r="98" customFormat="false" ht="15" hidden="false" customHeight="false" outlineLevel="0" collapsed="false">
      <c r="A98" s="9" t="s">
        <v>130</v>
      </c>
      <c r="B98" s="9"/>
      <c r="C98" s="9" t="n">
        <v>15</v>
      </c>
      <c r="D98" s="9" t="n">
        <v>36</v>
      </c>
      <c r="E98" s="9" t="n">
        <v>9</v>
      </c>
      <c r="F98" s="9"/>
      <c r="G98" s="9"/>
      <c r="H98" s="9"/>
      <c r="I98" s="9"/>
      <c r="J98" s="9"/>
      <c r="K98" s="9"/>
      <c r="L98" s="9"/>
      <c r="M98" s="9" t="str">
        <f aca="false">IFERROR(VLOOKUP(C98,categorieen!$D:$E,2,0),"")</f>
        <v>Getal/Cijfer</v>
      </c>
      <c r="N98" s="9" t="str">
        <f aca="false">IFERROR(VLOOKUP(D98,categorieen!$D:$E,2,0),"")</f>
        <v>Plein</v>
      </c>
      <c r="O98" s="9" t="str">
        <f aca="false">IFERROR(VLOOKUP(E98,categorieen!$D:$E,2,0),"")</f>
        <v>Kiosk</v>
      </c>
      <c r="P98" s="9" t="str">
        <f aca="false">IFERROR(VLOOKUP(F98,categorieen!$D:$E,2,0),"")</f>
        <v/>
      </c>
      <c r="Q98" s="9" t="str">
        <f aca="false">IFERROR(VLOOKUP(G98,categorieen!$D:$E,2,0),"")</f>
        <v/>
      </c>
      <c r="R98" s="9" t="str">
        <f aca="false">IFERROR(VLOOKUP(H98,categorieen!$D:$E,2,0),"")</f>
        <v/>
      </c>
      <c r="S98" s="9" t="str">
        <f aca="false">IFERROR(VLOOKUP(I98,categorieen!$D:$E,2,0),"")</f>
        <v/>
      </c>
      <c r="T98" s="9" t="str">
        <f aca="false">IFERROR(VLOOKUP(J98,categorieen!$D:$E,2,0),"")</f>
        <v/>
      </c>
    </row>
    <row r="99" customFormat="false" ht="15" hidden="false" customHeight="false" outlineLevel="0" collapsed="false">
      <c r="A99" s="9" t="s">
        <v>131</v>
      </c>
      <c r="B99" s="9"/>
      <c r="C99" s="9" t="n">
        <v>7</v>
      </c>
      <c r="D99" s="9" t="n">
        <v>40</v>
      </c>
      <c r="E99" s="9" t="n">
        <v>30</v>
      </c>
      <c r="F99" s="9"/>
      <c r="G99" s="9"/>
      <c r="H99" s="9"/>
      <c r="I99" s="9"/>
      <c r="J99" s="9"/>
      <c r="K99" s="9"/>
      <c r="L99" s="9"/>
      <c r="M99" s="9" t="str">
        <f aca="false">IFERROR(VLOOKUP(C99,categorieen!$D:$E,2,0),"")</f>
        <v>Alaaf</v>
      </c>
      <c r="N99" s="9" t="str">
        <f aca="false">IFERROR(VLOOKUP(D99,categorieen!$D:$E,2,0),"")</f>
        <v>Typisch Brabants (TB)</v>
      </c>
      <c r="O99" s="9" t="str">
        <f aca="false">IFERROR(VLOOKUP(E99,categorieen!$D:$E,2,0),"")</f>
        <v>In de volksmond (IDV)</v>
      </c>
      <c r="P99" s="9" t="str">
        <f aca="false">IFERROR(VLOOKUP(F99,categorieen!$D:$E,2,0),"")</f>
        <v/>
      </c>
      <c r="Q99" s="9" t="str">
        <f aca="false">IFERROR(VLOOKUP(G99,categorieen!$D:$E,2,0),"")</f>
        <v/>
      </c>
      <c r="R99" s="9" t="str">
        <f aca="false">IFERROR(VLOOKUP(H99,categorieen!$D:$E,2,0),"")</f>
        <v/>
      </c>
      <c r="S99" s="9" t="str">
        <f aca="false">IFERROR(VLOOKUP(I99,categorieen!$D:$E,2,0),"")</f>
        <v/>
      </c>
      <c r="T99" s="9" t="str">
        <f aca="false">IFERROR(VLOOKUP(J99,categorieen!$D:$E,2,0),"")</f>
        <v/>
      </c>
    </row>
    <row r="100" customFormat="false" ht="30" hidden="false" customHeight="false" outlineLevel="0" collapsed="false">
      <c r="A100" s="9" t="s">
        <v>132</v>
      </c>
      <c r="B100" s="11" t="s">
        <v>133</v>
      </c>
      <c r="C100" s="9" t="n">
        <v>5</v>
      </c>
      <c r="D100" s="9" t="n">
        <v>7</v>
      </c>
      <c r="E100" s="9" t="n">
        <v>8</v>
      </c>
      <c r="F100" s="9" t="n">
        <v>43</v>
      </c>
      <c r="G100" s="9" t="n">
        <v>42</v>
      </c>
      <c r="H100" s="9"/>
      <c r="I100" s="9"/>
      <c r="J100" s="9"/>
      <c r="K100" s="9"/>
      <c r="L100" s="9"/>
      <c r="M100" s="9" t="str">
        <f aca="false">IFERROR(VLOOKUP(C100,categorieen!$D:$E,2,0),"")</f>
        <v>Bekende Brabanders</v>
      </c>
      <c r="N100" s="9" t="str">
        <f aca="false">IFERROR(VLOOKUP(D100,categorieen!$D:$E,2,0),"")</f>
        <v>Alaaf</v>
      </c>
      <c r="O100" s="9" t="str">
        <f aca="false">IFERROR(VLOOKUP(E100,categorieen!$D:$E,2,0),"")</f>
        <v>040 (Eindhoven)</v>
      </c>
      <c r="P100" s="9" t="str">
        <f aca="false">IFERROR(VLOOKUP(F100,categorieen!$D:$E,2,0),"")</f>
        <v>Dierlijk</v>
      </c>
      <c r="Q100" s="9" t="str">
        <f aca="false">IFERROR(VLOOKUP(G100,categorieen!$D:$E,2,0),"")</f>
        <v>7 letters</v>
      </c>
      <c r="R100" s="9" t="str">
        <f aca="false">IFERROR(VLOOKUP(H100,categorieen!$D:$E,2,0),"")</f>
        <v/>
      </c>
      <c r="S100" s="9" t="str">
        <f aca="false">IFERROR(VLOOKUP(I100,categorieen!$D:$E,2,0),"")</f>
        <v/>
      </c>
      <c r="T100" s="9" t="str">
        <f aca="false">IFERROR(VLOOKUP(J100,categorieen!$D:$E,2,0),"")</f>
        <v/>
      </c>
    </row>
    <row r="101" customFormat="false" ht="15" hidden="false" customHeight="false" outlineLevel="0" collapsed="false">
      <c r="A101" s="9" t="s">
        <v>134</v>
      </c>
      <c r="B101" s="9"/>
      <c r="C101" s="9" t="n">
        <v>27</v>
      </c>
      <c r="D101" s="9" t="n">
        <v>17</v>
      </c>
      <c r="E101" s="9" t="n">
        <v>21</v>
      </c>
      <c r="F101" s="9" t="n">
        <v>42</v>
      </c>
      <c r="G101" s="9"/>
      <c r="H101" s="9"/>
      <c r="I101" s="9"/>
      <c r="J101" s="9"/>
      <c r="K101" s="9"/>
      <c r="L101" s="9"/>
      <c r="M101" s="9" t="str">
        <f aca="false">IFERROR(VLOOKUP(C101,categorieen!$D:$E,2,0),"")</f>
        <v>Eten en Drinken (ED)</v>
      </c>
      <c r="N101" s="9" t="str">
        <f aca="false">IFERROR(VLOOKUP(D101,categorieen!$D:$E,2,0),"")</f>
        <v>Met dubbel s</v>
      </c>
      <c r="O101" s="9" t="str">
        <f aca="false">IFERROR(VLOOKUP(E101,categorieen!$D:$E,2,0),"")</f>
        <v>West Brabant</v>
      </c>
      <c r="P101" s="9" t="str">
        <f aca="false">IFERROR(VLOOKUP(F101,categorieen!$D:$E,2,0),"")</f>
        <v>7 letters</v>
      </c>
      <c r="Q101" s="9" t="str">
        <f aca="false">IFERROR(VLOOKUP(G101,categorieen!$D:$E,2,0),"")</f>
        <v/>
      </c>
      <c r="R101" s="9" t="str">
        <f aca="false">IFERROR(VLOOKUP(H101,categorieen!$D:$E,2,0),"")</f>
        <v/>
      </c>
      <c r="S101" s="9" t="str">
        <f aca="false">IFERROR(VLOOKUP(I101,categorieen!$D:$E,2,0),"")</f>
        <v/>
      </c>
      <c r="T101" s="9" t="str">
        <f aca="false">IFERROR(VLOOKUP(J101,categorieen!$D:$E,2,0),"")</f>
        <v/>
      </c>
    </row>
    <row r="102" customFormat="false" ht="15" hidden="false" customHeight="false" outlineLevel="0" collapsed="false">
      <c r="A102" s="9" t="s">
        <v>135</v>
      </c>
      <c r="B102" s="9"/>
      <c r="C102" s="9" t="n">
        <v>18</v>
      </c>
      <c r="D102" s="9" t="n">
        <v>38</v>
      </c>
      <c r="E102" s="9" t="n">
        <v>22</v>
      </c>
      <c r="F102" s="9"/>
      <c r="G102" s="9"/>
      <c r="H102" s="9"/>
      <c r="I102" s="9"/>
      <c r="J102" s="9"/>
      <c r="K102" s="9"/>
      <c r="L102" s="9"/>
      <c r="M102" s="9" t="str">
        <f aca="false">IFERROR(VLOOKUP(C102,categorieen!$D:$E,2,0),"")</f>
        <v>Willem II</v>
      </c>
      <c r="N102" s="9" t="str">
        <f aca="false">IFERROR(VLOOKUP(D102,categorieen!$D:$E,2,0),"")</f>
        <v>Sport</v>
      </c>
      <c r="O102" s="9" t="str">
        <f aca="false">IFERROR(VLOOKUP(E102,categorieen!$D:$E,2,0),"")</f>
        <v>3x dezelfde letter</v>
      </c>
      <c r="P102" s="9" t="str">
        <f aca="false">IFERROR(VLOOKUP(F102,categorieen!$D:$E,2,0),"")</f>
        <v/>
      </c>
      <c r="Q102" s="9" t="str">
        <f aca="false">IFERROR(VLOOKUP(G102,categorieen!$D:$E,2,0),"")</f>
        <v/>
      </c>
      <c r="R102" s="9" t="str">
        <f aca="false">IFERROR(VLOOKUP(H102,categorieen!$D:$E,2,0),"")</f>
        <v/>
      </c>
      <c r="S102" s="9" t="str">
        <f aca="false">IFERROR(VLOOKUP(I102,categorieen!$D:$E,2,0),"")</f>
        <v/>
      </c>
      <c r="T102" s="9" t="str">
        <f aca="false">IFERROR(VLOOKUP(J102,categorieen!$D:$E,2,0),"")</f>
        <v/>
      </c>
    </row>
    <row r="103" customFormat="false" ht="15" hidden="false" customHeight="false" outlineLevel="0" collapsed="false">
      <c r="A103" s="9" t="s">
        <v>136</v>
      </c>
      <c r="B103" s="9"/>
      <c r="C103" s="9" t="n">
        <v>24</v>
      </c>
      <c r="D103" s="9" t="n">
        <v>30</v>
      </c>
      <c r="E103" s="9"/>
      <c r="F103" s="9"/>
      <c r="G103" s="9"/>
      <c r="H103" s="9"/>
      <c r="I103" s="9"/>
      <c r="J103" s="9"/>
      <c r="K103" s="9"/>
      <c r="L103" s="9"/>
      <c r="M103" s="9" t="str">
        <f aca="false">IFERROR(VLOOKUP(C103,categorieen!$D:$E,2,0),"")</f>
        <v>3 of 4 letters</v>
      </c>
      <c r="N103" s="9" t="str">
        <f aca="false">IFERROR(VLOOKUP(D103,categorieen!$D:$E,2,0),"")</f>
        <v>In de volksmond (IDV)</v>
      </c>
      <c r="O103" s="9" t="str">
        <f aca="false">IFERROR(VLOOKUP(E103,categorieen!$D:$E,2,0),"")</f>
        <v/>
      </c>
      <c r="P103" s="9" t="str">
        <f aca="false">IFERROR(VLOOKUP(F103,categorieen!$D:$E,2,0),"")</f>
        <v/>
      </c>
      <c r="Q103" s="9" t="str">
        <f aca="false">IFERROR(VLOOKUP(G103,categorieen!$D:$E,2,0),"")</f>
        <v/>
      </c>
      <c r="R103" s="9" t="str">
        <f aca="false">IFERROR(VLOOKUP(H103,categorieen!$D:$E,2,0),"")</f>
        <v/>
      </c>
      <c r="S103" s="9" t="str">
        <f aca="false">IFERROR(VLOOKUP(I103,categorieen!$D:$E,2,0),"")</f>
        <v/>
      </c>
      <c r="T103" s="9" t="str">
        <f aca="false">IFERROR(VLOOKUP(J103,categorieen!$D:$E,2,0),"")</f>
        <v/>
      </c>
    </row>
    <row r="104" customFormat="false" ht="15" hidden="false" customHeight="false" outlineLevel="0" collapsed="false">
      <c r="A104" s="9" t="s">
        <v>137</v>
      </c>
      <c r="B104" s="9"/>
      <c r="C104" s="9" t="n">
        <v>11</v>
      </c>
      <c r="D104" s="9" t="n">
        <v>22</v>
      </c>
      <c r="E104" s="9" t="n">
        <v>20</v>
      </c>
      <c r="F104" s="9" t="n">
        <v>31</v>
      </c>
      <c r="G104" s="9"/>
      <c r="H104" s="9"/>
      <c r="I104" s="9"/>
      <c r="J104" s="9"/>
      <c r="K104" s="9"/>
      <c r="L104" s="9"/>
      <c r="M104" s="9" t="str">
        <f aca="false">IFERROR(VLOOKUP(C104,categorieen!$D:$E,2,0),"")</f>
        <v>Tilburg</v>
      </c>
      <c r="N104" s="9" t="str">
        <f aca="false">IFERROR(VLOOKUP(D104,categorieen!$D:$E,2,0),"")</f>
        <v>3x dezelfde letter</v>
      </c>
      <c r="O104" s="9" t="str">
        <f aca="false">IFERROR(VLOOKUP(E104,categorieen!$D:$E,2,0),"")</f>
        <v>Festival</v>
      </c>
      <c r="P104" s="9" t="str">
        <f aca="false">IFERROR(VLOOKUP(F104,categorieen!$D:$E,2,0),"")</f>
        <v>Kleurrijk</v>
      </c>
      <c r="Q104" s="9" t="str">
        <f aca="false">IFERROR(VLOOKUP(G104,categorieen!$D:$E,2,0),"")</f>
        <v/>
      </c>
      <c r="R104" s="9" t="str">
        <f aca="false">IFERROR(VLOOKUP(H104,categorieen!$D:$E,2,0),"")</f>
        <v/>
      </c>
      <c r="S104" s="9" t="str">
        <f aca="false">IFERROR(VLOOKUP(I104,categorieen!$D:$E,2,0),"")</f>
        <v/>
      </c>
      <c r="T104" s="9" t="str">
        <f aca="false">IFERROR(VLOOKUP(J104,categorieen!$D:$E,2,0),"")</f>
        <v/>
      </c>
    </row>
    <row r="105" customFormat="false" ht="15" hidden="false" customHeight="false" outlineLevel="0" collapsed="false">
      <c r="A105" s="9" t="s">
        <v>138</v>
      </c>
      <c r="B105" s="9"/>
      <c r="C105" s="9" t="n">
        <v>11</v>
      </c>
      <c r="D105" s="9" t="n">
        <v>27</v>
      </c>
      <c r="E105" s="9" t="n">
        <v>40</v>
      </c>
      <c r="F105" s="9" t="n">
        <v>7</v>
      </c>
      <c r="G105" s="9"/>
      <c r="H105" s="9"/>
      <c r="I105" s="9"/>
      <c r="J105" s="9"/>
      <c r="K105" s="9"/>
      <c r="L105" s="9"/>
      <c r="M105" s="9" t="str">
        <f aca="false">IFERROR(VLOOKUP(C105,categorieen!$D:$E,2,0),"")</f>
        <v>Tilburg</v>
      </c>
      <c r="N105" s="9" t="str">
        <f aca="false">IFERROR(VLOOKUP(D105,categorieen!$D:$E,2,0),"")</f>
        <v>Eten en Drinken (ED)</v>
      </c>
      <c r="O105" s="9" t="str">
        <f aca="false">IFERROR(VLOOKUP(E105,categorieen!$D:$E,2,0),"")</f>
        <v>Typisch Brabants (TB)</v>
      </c>
      <c r="P105" s="9" t="str">
        <f aca="false">IFERROR(VLOOKUP(F105,categorieen!$D:$E,2,0),"")</f>
        <v>Alaaf</v>
      </c>
      <c r="Q105" s="9" t="str">
        <f aca="false">IFERROR(VLOOKUP(G105,categorieen!$D:$E,2,0),"")</f>
        <v/>
      </c>
      <c r="R105" s="9" t="str">
        <f aca="false">IFERROR(VLOOKUP(H105,categorieen!$D:$E,2,0),"")</f>
        <v/>
      </c>
      <c r="S105" s="9" t="str">
        <f aca="false">IFERROR(VLOOKUP(I105,categorieen!$D:$E,2,0),"")</f>
        <v/>
      </c>
      <c r="T105" s="9" t="str">
        <f aca="false">IFERROR(VLOOKUP(J105,categorieen!$D:$E,2,0),"")</f>
        <v/>
      </c>
    </row>
    <row r="106" customFormat="false" ht="15" hidden="false" customHeight="false" outlineLevel="0" collapsed="false">
      <c r="A106" s="9" t="s">
        <v>139</v>
      </c>
      <c r="B106" s="9" t="s">
        <v>140</v>
      </c>
      <c r="C106" s="9" t="n">
        <v>5</v>
      </c>
      <c r="D106" s="9" t="n">
        <v>38</v>
      </c>
      <c r="E106" s="9" t="n">
        <v>41</v>
      </c>
      <c r="F106" s="9" t="n">
        <v>22</v>
      </c>
      <c r="G106" s="9"/>
      <c r="H106" s="9"/>
      <c r="I106" s="9"/>
      <c r="J106" s="9"/>
      <c r="K106" s="9"/>
      <c r="L106" s="9"/>
      <c r="M106" s="9" t="str">
        <f aca="false">IFERROR(VLOOKUP(C106,categorieen!$D:$E,2,0),"")</f>
        <v>Bekende Brabanders</v>
      </c>
      <c r="N106" s="9" t="str">
        <f aca="false">IFERROR(VLOOKUP(D106,categorieen!$D:$E,2,0),"")</f>
        <v>Sport</v>
      </c>
      <c r="O106" s="9" t="str">
        <f aca="false">IFERROR(VLOOKUP(E106,categorieen!$D:$E,2,0),"")</f>
        <v>Vught</v>
      </c>
      <c r="P106" s="9" t="str">
        <f aca="false">IFERROR(VLOOKUP(F106,categorieen!$D:$E,2,0),"")</f>
        <v>3x dezelfde letter</v>
      </c>
      <c r="Q106" s="9" t="str">
        <f aca="false">IFERROR(VLOOKUP(G106,categorieen!$D:$E,2,0),"")</f>
        <v/>
      </c>
      <c r="R106" s="9" t="str">
        <f aca="false">IFERROR(VLOOKUP(H106,categorieen!$D:$E,2,0),"")</f>
        <v/>
      </c>
      <c r="S106" s="9" t="str">
        <f aca="false">IFERROR(VLOOKUP(I106,categorieen!$D:$E,2,0),"")</f>
        <v/>
      </c>
      <c r="T106" s="9" t="str">
        <f aca="false">IFERROR(VLOOKUP(J106,categorieen!$D:$E,2,0),"")</f>
        <v/>
      </c>
    </row>
    <row r="107" customFormat="false" ht="15" hidden="false" customHeight="false" outlineLevel="0" collapsed="false">
      <c r="A107" s="9" t="s">
        <v>141</v>
      </c>
      <c r="B107" s="9"/>
      <c r="C107" s="9" t="n">
        <v>28</v>
      </c>
      <c r="D107" s="9" t="n">
        <v>34</v>
      </c>
      <c r="E107" s="9" t="n">
        <v>22</v>
      </c>
      <c r="F107" s="9"/>
      <c r="G107" s="9"/>
      <c r="H107" s="9"/>
      <c r="I107" s="9"/>
      <c r="J107" s="9"/>
      <c r="K107" s="9"/>
      <c r="L107" s="9"/>
      <c r="M107" s="9" t="str">
        <f aca="false">IFERROR(VLOOKUP(C107,categorieen!$D:$E,2,0),"")</f>
        <v>Heilige</v>
      </c>
      <c r="N107" s="9" t="str">
        <f aca="false">IFERROR(VLOOKUP(D107,categorieen!$D:$E,2,0),"")</f>
        <v>Met 4 Wieken</v>
      </c>
      <c r="O107" s="9" t="str">
        <f aca="false">IFERROR(VLOOKUP(E107,categorieen!$D:$E,2,0),"")</f>
        <v>3x dezelfde letter</v>
      </c>
      <c r="P107" s="9" t="str">
        <f aca="false">IFERROR(VLOOKUP(F107,categorieen!$D:$E,2,0),"")</f>
        <v/>
      </c>
      <c r="Q107" s="9" t="str">
        <f aca="false">IFERROR(VLOOKUP(G107,categorieen!$D:$E,2,0),"")</f>
        <v/>
      </c>
      <c r="R107" s="9" t="str">
        <f aca="false">IFERROR(VLOOKUP(H107,categorieen!$D:$E,2,0),"")</f>
        <v/>
      </c>
      <c r="S107" s="9" t="str">
        <f aca="false">IFERROR(VLOOKUP(I107,categorieen!$D:$E,2,0),"")</f>
        <v/>
      </c>
      <c r="T107" s="9" t="str">
        <f aca="false">IFERROR(VLOOKUP(J107,categorieen!$D:$E,2,0),"")</f>
        <v/>
      </c>
    </row>
    <row r="108" customFormat="false" ht="15" hidden="false" customHeight="false" outlineLevel="0" collapsed="false">
      <c r="A108" s="9" t="s">
        <v>142</v>
      </c>
      <c r="B108" s="9"/>
      <c r="C108" s="9" t="n">
        <v>1</v>
      </c>
      <c r="D108" s="9" t="n">
        <v>28</v>
      </c>
      <c r="E108" s="9" t="n">
        <v>22</v>
      </c>
      <c r="F108" s="9" t="n">
        <v>34</v>
      </c>
      <c r="G108" s="9"/>
      <c r="H108" s="9"/>
      <c r="I108" s="9"/>
      <c r="J108" s="9"/>
      <c r="K108" s="9"/>
      <c r="L108" s="9"/>
      <c r="M108" s="9" t="str">
        <f aca="false">IFERROR(VLOOKUP(C108,categorieen!$D:$E,2,0),"")</f>
        <v>Eerste- en Eindletter hetzelfde</v>
      </c>
      <c r="N108" s="9" t="str">
        <f aca="false">IFERROR(VLOOKUP(D108,categorieen!$D:$E,2,0),"")</f>
        <v>Heilige</v>
      </c>
      <c r="O108" s="9" t="str">
        <f aca="false">IFERROR(VLOOKUP(E108,categorieen!$D:$E,2,0),"")</f>
        <v>3x dezelfde letter</v>
      </c>
      <c r="P108" s="9" t="str">
        <f aca="false">IFERROR(VLOOKUP(F108,categorieen!$D:$E,2,0),"")</f>
        <v>Met 4 Wieken</v>
      </c>
      <c r="Q108" s="9" t="str">
        <f aca="false">IFERROR(VLOOKUP(G108,categorieen!$D:$E,2,0),"")</f>
        <v/>
      </c>
      <c r="R108" s="9" t="str">
        <f aca="false">IFERROR(VLOOKUP(H108,categorieen!$D:$E,2,0),"")</f>
        <v/>
      </c>
      <c r="S108" s="9" t="str">
        <f aca="false">IFERROR(VLOOKUP(I108,categorieen!$D:$E,2,0),"")</f>
        <v/>
      </c>
      <c r="T108" s="9" t="str">
        <f aca="false">IFERROR(VLOOKUP(J108,categorieen!$D:$E,2,0),"")</f>
        <v/>
      </c>
    </row>
    <row r="109" customFormat="false" ht="15" hidden="false" customHeight="false" outlineLevel="0" collapsed="false">
      <c r="A109" s="9" t="s">
        <v>143</v>
      </c>
      <c r="B109" s="9"/>
      <c r="C109" s="9" t="n">
        <v>42</v>
      </c>
      <c r="D109" s="9" t="n">
        <v>28</v>
      </c>
      <c r="E109" s="9" t="n">
        <v>37</v>
      </c>
      <c r="F109" s="9" t="n">
        <v>34</v>
      </c>
      <c r="G109" s="9"/>
      <c r="H109" s="9"/>
      <c r="I109" s="9"/>
      <c r="J109" s="9"/>
      <c r="K109" s="9"/>
      <c r="L109" s="9"/>
      <c r="M109" s="9" t="str">
        <f aca="false">IFERROR(VLOOKUP(C109,categorieen!$D:$E,2,0),"")</f>
        <v>7 letters</v>
      </c>
      <c r="N109" s="9" t="str">
        <f aca="false">IFERROR(VLOOKUP(D109,categorieen!$D:$E,2,0),"")</f>
        <v>Heilige</v>
      </c>
      <c r="O109" s="9" t="str">
        <f aca="false">IFERROR(VLOOKUP(E109,categorieen!$D:$E,2,0),"")</f>
        <v>s Hertogenbosch (DB)</v>
      </c>
      <c r="P109" s="9" t="str">
        <f aca="false">IFERROR(VLOOKUP(F109,categorieen!$D:$E,2,0),"")</f>
        <v>Met 4 Wieken</v>
      </c>
      <c r="Q109" s="9" t="str">
        <f aca="false">IFERROR(VLOOKUP(G109,categorieen!$D:$E,2,0),"")</f>
        <v/>
      </c>
      <c r="R109" s="9" t="str">
        <f aca="false">IFERROR(VLOOKUP(H109,categorieen!$D:$E,2,0),"")</f>
        <v/>
      </c>
      <c r="S109" s="9" t="str">
        <f aca="false">IFERROR(VLOOKUP(I109,categorieen!$D:$E,2,0),"")</f>
        <v/>
      </c>
      <c r="T109" s="9" t="str">
        <f aca="false">IFERROR(VLOOKUP(J109,categorieen!$D:$E,2,0),"")</f>
        <v/>
      </c>
    </row>
    <row r="110" customFormat="false" ht="15" hidden="false" customHeight="false" outlineLevel="0" collapsed="false">
      <c r="A110" s="9" t="s">
        <v>144</v>
      </c>
      <c r="B110" s="9"/>
      <c r="C110" s="9" t="n">
        <v>28</v>
      </c>
      <c r="D110" s="9" t="n">
        <v>33</v>
      </c>
      <c r="E110" s="9" t="n">
        <v>1</v>
      </c>
      <c r="F110" s="9" t="n">
        <v>27</v>
      </c>
      <c r="G110" s="9" t="n">
        <v>2</v>
      </c>
      <c r="H110" s="9"/>
      <c r="I110" s="9"/>
      <c r="J110" s="9"/>
      <c r="K110" s="9"/>
      <c r="L110" s="9"/>
      <c r="M110" s="9" t="str">
        <f aca="false">IFERROR(VLOOKUP(C110,categorieen!$D:$E,2,0),"")</f>
        <v>Heilige</v>
      </c>
      <c r="N110" s="9" t="str">
        <f aca="false">IFERROR(VLOOKUP(D110,categorieen!$D:$E,2,0),"")</f>
        <v>076 (Breda)</v>
      </c>
      <c r="O110" s="9" t="str">
        <f aca="false">IFERROR(VLOOKUP(E110,categorieen!$D:$E,2,0),"")</f>
        <v>Eerste- en Eindletter hetzelfde</v>
      </c>
      <c r="P110" s="9" t="str">
        <f aca="false">IFERROR(VLOOKUP(F110,categorieen!$D:$E,2,0),"")</f>
        <v>Eten en Drinken (ED)</v>
      </c>
      <c r="Q110" s="9" t="str">
        <f aca="false">IFERROR(VLOOKUP(G110,categorieen!$D:$E,2,0),"")</f>
        <v>(stand)beeld / (Rijks)monument</v>
      </c>
      <c r="R110" s="9" t="str">
        <f aca="false">IFERROR(VLOOKUP(H110,categorieen!$D:$E,2,0),"")</f>
        <v/>
      </c>
      <c r="S110" s="9" t="str">
        <f aca="false">IFERROR(VLOOKUP(I110,categorieen!$D:$E,2,0),"")</f>
        <v/>
      </c>
      <c r="T110" s="9" t="str">
        <f aca="false">IFERROR(VLOOKUP(J110,categorieen!$D:$E,2,0),"")</f>
        <v/>
      </c>
    </row>
    <row r="111" customFormat="false" ht="15" hidden="false" customHeight="false" outlineLevel="0" collapsed="false">
      <c r="A111" s="10" t="s">
        <v>145</v>
      </c>
      <c r="B111" s="9"/>
      <c r="C111" s="10" t="n">
        <v>13</v>
      </c>
      <c r="D111" s="10" t="n">
        <v>22</v>
      </c>
      <c r="E111" s="9" t="n">
        <v>33</v>
      </c>
      <c r="F111" s="9" t="n">
        <v>28</v>
      </c>
      <c r="G111" s="9"/>
      <c r="H111" s="9"/>
      <c r="I111" s="9"/>
      <c r="J111" s="9"/>
      <c r="K111" s="9"/>
      <c r="L111" s="9"/>
      <c r="M111" s="9" t="str">
        <f aca="false">IFERROR(VLOOKUP(C111,categorieen!$D:$E,2,0),"")</f>
        <v>Met dubbel T</v>
      </c>
      <c r="N111" s="9" t="str">
        <f aca="false">IFERROR(VLOOKUP(D111,categorieen!$D:$E,2,0),"")</f>
        <v>3x dezelfde letter</v>
      </c>
      <c r="O111" s="9" t="str">
        <f aca="false">IFERROR(VLOOKUP(E111,categorieen!$D:$E,2,0),"")</f>
        <v>076 (Breda)</v>
      </c>
      <c r="P111" s="9" t="str">
        <f aca="false">IFERROR(VLOOKUP(F111,categorieen!$D:$E,2,0),"")</f>
        <v>Heilige</v>
      </c>
      <c r="Q111" s="9" t="str">
        <f aca="false">IFERROR(VLOOKUP(G111,categorieen!$D:$E,2,0),"")</f>
        <v/>
      </c>
      <c r="R111" s="9" t="str">
        <f aca="false">IFERROR(VLOOKUP(H111,categorieen!$D:$E,2,0),"")</f>
        <v/>
      </c>
      <c r="S111" s="9" t="str">
        <f aca="false">IFERROR(VLOOKUP(I111,categorieen!$D:$E,2,0),"")</f>
        <v/>
      </c>
      <c r="T111" s="9" t="str">
        <f aca="false">IFERROR(VLOOKUP(J111,categorieen!$D:$E,2,0),"")</f>
        <v/>
      </c>
    </row>
    <row r="112" customFormat="false" ht="15" hidden="false" customHeight="false" outlineLevel="0" collapsed="false">
      <c r="A112" s="9" t="s">
        <v>146</v>
      </c>
      <c r="B112" s="9"/>
      <c r="C112" s="9" t="n">
        <v>8</v>
      </c>
      <c r="D112" s="9" t="n">
        <v>1</v>
      </c>
      <c r="E112" s="9" t="n">
        <v>22</v>
      </c>
      <c r="F112" s="9" t="n">
        <v>30</v>
      </c>
      <c r="G112" s="9"/>
      <c r="H112" s="9"/>
      <c r="I112" s="9"/>
      <c r="J112" s="9"/>
      <c r="K112" s="9"/>
      <c r="L112" s="9"/>
      <c r="M112" s="9" t="str">
        <f aca="false">IFERROR(VLOOKUP(C112,categorieen!$D:$E,2,0),"")</f>
        <v>040 (Eindhoven)</v>
      </c>
      <c r="N112" s="9" t="str">
        <f aca="false">IFERROR(VLOOKUP(D112,categorieen!$D:$E,2,0),"")</f>
        <v>Eerste- en Eindletter hetzelfde</v>
      </c>
      <c r="O112" s="9" t="str">
        <f aca="false">IFERROR(VLOOKUP(E112,categorieen!$D:$E,2,0),"")</f>
        <v>3x dezelfde letter</v>
      </c>
      <c r="P112" s="9" t="str">
        <f aca="false">IFERROR(VLOOKUP(F112,categorieen!$D:$E,2,0),"")</f>
        <v>In de volksmond (IDV)</v>
      </c>
      <c r="Q112" s="9" t="str">
        <f aca="false">IFERROR(VLOOKUP(G112,categorieen!$D:$E,2,0),"")</f>
        <v/>
      </c>
      <c r="R112" s="9" t="str">
        <f aca="false">IFERROR(VLOOKUP(H112,categorieen!$D:$E,2,0),"")</f>
        <v/>
      </c>
      <c r="S112" s="9" t="str">
        <f aca="false">IFERROR(VLOOKUP(I112,categorieen!$D:$E,2,0),"")</f>
        <v/>
      </c>
      <c r="T112" s="9" t="str">
        <f aca="false">IFERROR(VLOOKUP(J112,categorieen!$D:$E,2,0),"")</f>
        <v/>
      </c>
    </row>
    <row r="113" customFormat="false" ht="15" hidden="false" customHeight="false" outlineLevel="0" collapsed="false">
      <c r="A113" s="9" t="s">
        <v>147</v>
      </c>
      <c r="B113" s="9"/>
      <c r="C113" s="9" t="n">
        <v>30</v>
      </c>
      <c r="D113" s="9" t="n">
        <v>26</v>
      </c>
      <c r="E113" s="9" t="n">
        <v>25</v>
      </c>
      <c r="F113" s="9" t="n">
        <v>42</v>
      </c>
      <c r="G113" s="9"/>
      <c r="H113" s="9"/>
      <c r="I113" s="9"/>
      <c r="J113" s="9"/>
      <c r="K113" s="9"/>
      <c r="L113" s="9"/>
      <c r="M113" s="9" t="str">
        <f aca="false">IFERROR(VLOOKUP(C113,categorieen!$D:$E,2,0),"")</f>
        <v>In de volksmond (IDV)</v>
      </c>
      <c r="N113" s="9" t="str">
        <f aca="false">IFERROR(VLOOKUP(D113,categorieen!$D:$E,2,0),"")</f>
        <v>Eindigt op el</v>
      </c>
      <c r="O113" s="9" t="str">
        <f aca="false">IFERROR(VLOOKUP(E113,categorieen!$D:$E,2,0),"")</f>
        <v>1 van de 8</v>
      </c>
      <c r="P113" s="9" t="str">
        <f aca="false">IFERROR(VLOOKUP(F113,categorieen!$D:$E,2,0),"")</f>
        <v>7 letters</v>
      </c>
      <c r="Q113" s="9" t="str">
        <f aca="false">IFERROR(VLOOKUP(G113,categorieen!$D:$E,2,0),"")</f>
        <v/>
      </c>
      <c r="R113" s="9" t="str">
        <f aca="false">IFERROR(VLOOKUP(H113,categorieen!$D:$E,2,0),"")</f>
        <v/>
      </c>
      <c r="S113" s="9" t="str">
        <f aca="false">IFERROR(VLOOKUP(I113,categorieen!$D:$E,2,0),"")</f>
        <v/>
      </c>
      <c r="T113" s="9" t="str">
        <f aca="false">IFERROR(VLOOKUP(J113,categorieen!$D:$E,2,0),"")</f>
        <v/>
      </c>
    </row>
    <row r="114" customFormat="false" ht="15" hidden="false" customHeight="false" outlineLevel="0" collapsed="false">
      <c r="A114" s="15" t="s">
        <v>148</v>
      </c>
      <c r="B114" s="9"/>
      <c r="C114" s="10" t="n">
        <v>1</v>
      </c>
      <c r="D114" s="9" t="n">
        <v>7</v>
      </c>
      <c r="E114" s="9" t="n">
        <v>30</v>
      </c>
      <c r="F114" s="9"/>
      <c r="G114" s="9"/>
      <c r="H114" s="9"/>
      <c r="I114" s="9"/>
      <c r="J114" s="9"/>
      <c r="K114" s="9"/>
      <c r="L114" s="9"/>
      <c r="M114" s="9" t="str">
        <f aca="false">IFERROR(VLOOKUP(C114,categorieen!$D:$E,2,0),"")</f>
        <v>Eerste- en Eindletter hetzelfde</v>
      </c>
      <c r="N114" s="9" t="str">
        <f aca="false">IFERROR(VLOOKUP(D114,categorieen!$D:$E,2,0),"")</f>
        <v>Alaaf</v>
      </c>
      <c r="O114" s="9" t="str">
        <f aca="false">IFERROR(VLOOKUP(E114,categorieen!$D:$E,2,0),"")</f>
        <v>In de volksmond (IDV)</v>
      </c>
      <c r="P114" s="9" t="str">
        <f aca="false">IFERROR(VLOOKUP(F114,categorieen!$D:$E,2,0),"")</f>
        <v/>
      </c>
      <c r="Q114" s="9" t="str">
        <f aca="false">IFERROR(VLOOKUP(G114,categorieen!$D:$E,2,0),"")</f>
        <v/>
      </c>
      <c r="R114" s="9" t="str">
        <f aca="false">IFERROR(VLOOKUP(H114,categorieen!$D:$E,2,0),"")</f>
        <v/>
      </c>
      <c r="S114" s="9" t="str">
        <f aca="false">IFERROR(VLOOKUP(I114,categorieen!$D:$E,2,0),"")</f>
        <v/>
      </c>
      <c r="T114" s="9" t="str">
        <f aca="false">IFERROR(VLOOKUP(J114,categorieen!$D:$E,2,0),"")</f>
        <v/>
      </c>
    </row>
    <row r="115" customFormat="false" ht="15" hidden="false" customHeight="false" outlineLevel="0" collapsed="false">
      <c r="A115" s="9" t="s">
        <v>149</v>
      </c>
      <c r="B115" s="9"/>
      <c r="C115" s="9" t="n">
        <v>21</v>
      </c>
      <c r="D115" s="9" t="n">
        <v>28</v>
      </c>
      <c r="E115" s="9"/>
      <c r="F115" s="9"/>
      <c r="G115" s="9"/>
      <c r="H115" s="9"/>
      <c r="I115" s="9"/>
      <c r="J115" s="9"/>
      <c r="K115" s="9"/>
      <c r="L115" s="9"/>
      <c r="M115" s="9" t="str">
        <f aca="false">IFERROR(VLOOKUP(C115,categorieen!$D:$E,2,0),"")</f>
        <v>West Brabant</v>
      </c>
      <c r="N115" s="9" t="str">
        <f aca="false">IFERROR(VLOOKUP(D115,categorieen!$D:$E,2,0),"")</f>
        <v>Heilige</v>
      </c>
      <c r="O115" s="9" t="str">
        <f aca="false">IFERROR(VLOOKUP(E115,categorieen!$D:$E,2,0),"")</f>
        <v/>
      </c>
      <c r="P115" s="9" t="str">
        <f aca="false">IFERROR(VLOOKUP(F115,categorieen!$D:$E,2,0),"")</f>
        <v/>
      </c>
      <c r="Q115" s="9" t="str">
        <f aca="false">IFERROR(VLOOKUP(G115,categorieen!$D:$E,2,0),"")</f>
        <v/>
      </c>
      <c r="R115" s="9" t="str">
        <f aca="false">IFERROR(VLOOKUP(H115,categorieen!$D:$E,2,0),"")</f>
        <v/>
      </c>
      <c r="S115" s="9" t="str">
        <f aca="false">IFERROR(VLOOKUP(I115,categorieen!$D:$E,2,0),"")</f>
        <v/>
      </c>
      <c r="T115" s="9" t="str">
        <f aca="false">IFERROR(VLOOKUP(J115,categorieen!$D:$E,2,0),"")</f>
        <v/>
      </c>
    </row>
    <row r="116" customFormat="false" ht="15" hidden="false" customHeight="false" outlineLevel="0" collapsed="false">
      <c r="A116" s="9" t="s">
        <v>150</v>
      </c>
      <c r="B116" s="9"/>
      <c r="C116" s="9" t="n">
        <v>12</v>
      </c>
      <c r="D116" s="9" t="n">
        <v>22</v>
      </c>
      <c r="E116" s="9" t="n">
        <v>31</v>
      </c>
      <c r="F116" s="9"/>
      <c r="G116" s="9"/>
      <c r="H116" s="9"/>
      <c r="I116" s="9"/>
      <c r="J116" s="9"/>
      <c r="K116" s="9"/>
      <c r="L116" s="9"/>
      <c r="M116" s="9" t="str">
        <f aca="false">IFERROR(VLOOKUP(C116,categorieen!$D:$E,2,0),"")</f>
        <v>Water</v>
      </c>
      <c r="N116" s="9" t="str">
        <f aca="false">IFERROR(VLOOKUP(D116,categorieen!$D:$E,2,0),"")</f>
        <v>3x dezelfde letter</v>
      </c>
      <c r="O116" s="9" t="str">
        <f aca="false">IFERROR(VLOOKUP(E116,categorieen!$D:$E,2,0),"")</f>
        <v>Kleurrijk</v>
      </c>
      <c r="P116" s="9" t="str">
        <f aca="false">IFERROR(VLOOKUP(F116,categorieen!$D:$E,2,0),"")</f>
        <v/>
      </c>
      <c r="Q116" s="9" t="str">
        <f aca="false">IFERROR(VLOOKUP(G116,categorieen!$D:$E,2,0),"")</f>
        <v/>
      </c>
      <c r="R116" s="9" t="str">
        <f aca="false">IFERROR(VLOOKUP(H116,categorieen!$D:$E,2,0),"")</f>
        <v/>
      </c>
      <c r="S116" s="9" t="str">
        <f aca="false">IFERROR(VLOOKUP(I116,categorieen!$D:$E,2,0),"")</f>
        <v/>
      </c>
      <c r="T116" s="9" t="str">
        <f aca="false">IFERROR(VLOOKUP(J116,categorieen!$D:$E,2,0),"")</f>
        <v/>
      </c>
    </row>
    <row r="117" customFormat="false" ht="15" hidden="false" customHeight="false" outlineLevel="0" collapsed="false">
      <c r="A117" s="9" t="s">
        <v>151</v>
      </c>
      <c r="B117" s="9"/>
      <c r="C117" s="9" t="n">
        <v>36</v>
      </c>
      <c r="D117" s="9" t="n">
        <v>7</v>
      </c>
      <c r="E117" s="9" t="n">
        <v>11</v>
      </c>
      <c r="F117" s="9"/>
      <c r="G117" s="9"/>
      <c r="H117" s="9"/>
      <c r="I117" s="9"/>
      <c r="J117" s="9"/>
      <c r="K117" s="9"/>
      <c r="L117" s="9"/>
      <c r="M117" s="9" t="str">
        <f aca="false">IFERROR(VLOOKUP(C117,categorieen!$D:$E,2,0),"")</f>
        <v>Plein</v>
      </c>
      <c r="N117" s="9" t="str">
        <f aca="false">IFERROR(VLOOKUP(D117,categorieen!$D:$E,2,0),"")</f>
        <v>Alaaf</v>
      </c>
      <c r="O117" s="9" t="str">
        <f aca="false">IFERROR(VLOOKUP(E117,categorieen!$D:$E,2,0),"")</f>
        <v>Tilburg</v>
      </c>
      <c r="P117" s="9" t="str">
        <f aca="false">IFERROR(VLOOKUP(F117,categorieen!$D:$E,2,0),"")</f>
        <v/>
      </c>
      <c r="Q117" s="9" t="str">
        <f aca="false">IFERROR(VLOOKUP(G117,categorieen!$D:$E,2,0),"")</f>
        <v/>
      </c>
      <c r="R117" s="9" t="str">
        <f aca="false">IFERROR(VLOOKUP(H117,categorieen!$D:$E,2,0),"")</f>
        <v/>
      </c>
      <c r="S117" s="9" t="str">
        <f aca="false">IFERROR(VLOOKUP(I117,categorieen!$D:$E,2,0),"")</f>
        <v/>
      </c>
      <c r="T117" s="9" t="str">
        <f aca="false">IFERROR(VLOOKUP(J117,categorieen!$D:$E,2,0),"")</f>
        <v/>
      </c>
    </row>
    <row r="118" customFormat="false" ht="15" hidden="false" customHeight="false" outlineLevel="0" collapsed="false">
      <c r="A118" s="9" t="s">
        <v>152</v>
      </c>
      <c r="B118" s="9"/>
      <c r="C118" s="9" t="n">
        <v>16</v>
      </c>
      <c r="D118" s="9" t="n">
        <v>21</v>
      </c>
      <c r="E118" s="9" t="n">
        <v>12</v>
      </c>
      <c r="F118" s="9"/>
      <c r="G118" s="9"/>
      <c r="H118" s="9"/>
      <c r="I118" s="9"/>
      <c r="J118" s="9"/>
      <c r="K118" s="9"/>
      <c r="L118" s="9"/>
      <c r="M118" s="9" t="str">
        <f aca="false">IFERROR(VLOOKUP(C118,categorieen!$D:$E,2,0),"")</f>
        <v>Buurtschap</v>
      </c>
      <c r="N118" s="9" t="str">
        <f aca="false">IFERROR(VLOOKUP(D118,categorieen!$D:$E,2,0),"")</f>
        <v>West Brabant</v>
      </c>
      <c r="O118" s="9" t="str">
        <f aca="false">IFERROR(VLOOKUP(E118,categorieen!$D:$E,2,0),"")</f>
        <v>Water</v>
      </c>
      <c r="P118" s="9" t="str">
        <f aca="false">IFERROR(VLOOKUP(F118,categorieen!$D:$E,2,0),"")</f>
        <v/>
      </c>
      <c r="Q118" s="9" t="str">
        <f aca="false">IFERROR(VLOOKUP(G118,categorieen!$D:$E,2,0),"")</f>
        <v/>
      </c>
      <c r="R118" s="9" t="str">
        <f aca="false">IFERROR(VLOOKUP(H118,categorieen!$D:$E,2,0),"")</f>
        <v/>
      </c>
      <c r="S118" s="9" t="str">
        <f aca="false">IFERROR(VLOOKUP(I118,categorieen!$D:$E,2,0),"")</f>
        <v/>
      </c>
      <c r="T118" s="9" t="str">
        <f aca="false">IFERROR(VLOOKUP(J118,categorieen!$D:$E,2,0),"")</f>
        <v/>
      </c>
    </row>
    <row r="119" customFormat="false" ht="15" hidden="false" customHeight="false" outlineLevel="0" collapsed="false">
      <c r="A119" s="9" t="s">
        <v>153</v>
      </c>
      <c r="B119" s="9"/>
      <c r="C119" s="9" t="n">
        <v>42</v>
      </c>
      <c r="D119" s="9" t="n">
        <v>5</v>
      </c>
      <c r="E119" s="9" t="n">
        <v>26</v>
      </c>
      <c r="F119" s="9" t="n">
        <v>18</v>
      </c>
      <c r="G119" s="9" t="n">
        <v>38</v>
      </c>
      <c r="H119" s="9" t="n">
        <v>31</v>
      </c>
      <c r="I119" s="9"/>
      <c r="J119" s="9"/>
      <c r="K119" s="9"/>
      <c r="L119" s="9"/>
      <c r="M119" s="9" t="str">
        <f aca="false">IFERROR(VLOOKUP(C119,categorieen!$D:$E,2,0),"")</f>
        <v>7 letters</v>
      </c>
      <c r="N119" s="9" t="str">
        <f aca="false">IFERROR(VLOOKUP(D119,categorieen!$D:$E,2,0),"")</f>
        <v>Bekende Brabanders</v>
      </c>
      <c r="O119" s="9" t="str">
        <f aca="false">IFERROR(VLOOKUP(E119,categorieen!$D:$E,2,0),"")</f>
        <v>Eindigt op el</v>
      </c>
      <c r="P119" s="9" t="str">
        <f aca="false">IFERROR(VLOOKUP(F119,categorieen!$D:$E,2,0),"")</f>
        <v>Willem II</v>
      </c>
      <c r="Q119" s="9" t="str">
        <f aca="false">IFERROR(VLOOKUP(G119,categorieen!$D:$E,2,0),"")</f>
        <v>Sport</v>
      </c>
      <c r="R119" s="9" t="str">
        <f aca="false">IFERROR(VLOOKUP(H119,categorieen!$D:$E,2,0),"")</f>
        <v>Kleurrijk</v>
      </c>
      <c r="S119" s="9" t="str">
        <f aca="false">IFERROR(VLOOKUP(I119,categorieen!$D:$E,2,0),"")</f>
        <v/>
      </c>
      <c r="T119" s="9" t="str">
        <f aca="false">IFERROR(VLOOKUP(J119,categorieen!$D:$E,2,0),"")</f>
        <v/>
      </c>
    </row>
    <row r="120" customFormat="false" ht="15" hidden="false" customHeight="false" outlineLevel="0" collapsed="false">
      <c r="A120" s="9" t="s">
        <v>154</v>
      </c>
      <c r="B120" s="9"/>
      <c r="C120" s="9" t="n">
        <v>17</v>
      </c>
      <c r="D120" s="9" t="n">
        <v>26</v>
      </c>
      <c r="E120" s="9" t="n">
        <v>27</v>
      </c>
      <c r="F120" s="9" t="n">
        <v>5</v>
      </c>
      <c r="G120" s="9" t="n">
        <v>30</v>
      </c>
      <c r="H120" s="9" t="n">
        <v>38</v>
      </c>
      <c r="I120" s="9"/>
      <c r="J120" s="9"/>
      <c r="K120" s="9"/>
      <c r="L120" s="9"/>
      <c r="M120" s="9" t="str">
        <f aca="false">IFERROR(VLOOKUP(C120,categorieen!$D:$E,2,0),"")</f>
        <v>Met dubbel s</v>
      </c>
      <c r="N120" s="9" t="str">
        <f aca="false">IFERROR(VLOOKUP(D120,categorieen!$D:$E,2,0),"")</f>
        <v>Eindigt op el</v>
      </c>
      <c r="O120" s="9" t="str">
        <f aca="false">IFERROR(VLOOKUP(E120,categorieen!$D:$E,2,0),"")</f>
        <v>Eten en Drinken (ED)</v>
      </c>
      <c r="P120" s="9" t="str">
        <f aca="false">IFERROR(VLOOKUP(F120,categorieen!$D:$E,2,0),"")</f>
        <v>Bekende Brabanders</v>
      </c>
      <c r="Q120" s="9" t="str">
        <f aca="false">IFERROR(VLOOKUP(G120,categorieen!$D:$E,2,0),"")</f>
        <v>In de volksmond (IDV)</v>
      </c>
      <c r="R120" s="9" t="str">
        <f aca="false">IFERROR(VLOOKUP(H120,categorieen!$D:$E,2,0),"")</f>
        <v>Sport</v>
      </c>
      <c r="S120" s="9" t="str">
        <f aca="false">IFERROR(VLOOKUP(I120,categorieen!$D:$E,2,0),"")</f>
        <v/>
      </c>
      <c r="T120" s="9" t="str">
        <f aca="false">IFERROR(VLOOKUP(J120,categorieen!$D:$E,2,0),"")</f>
        <v/>
      </c>
    </row>
    <row r="121" customFormat="false" ht="15" hidden="false" customHeight="false" outlineLevel="0" collapsed="false">
      <c r="A121" s="9" t="s">
        <v>155</v>
      </c>
      <c r="B121" s="9"/>
      <c r="C121" s="9" t="n">
        <v>35</v>
      </c>
      <c r="D121" s="9" t="n">
        <v>19</v>
      </c>
      <c r="E121" s="9" t="n">
        <v>27</v>
      </c>
      <c r="F121" s="9" t="n">
        <v>30</v>
      </c>
      <c r="G121" s="9" t="n">
        <v>43</v>
      </c>
      <c r="H121" s="9"/>
      <c r="I121" s="9"/>
      <c r="J121" s="9"/>
      <c r="K121" s="9"/>
      <c r="L121" s="9"/>
      <c r="M121" s="9" t="str">
        <f aca="false">IFERROR(VLOOKUP(C121,categorieen!$D:$E,2,0),"")</f>
        <v>Parel in het Groen (PITG)</v>
      </c>
      <c r="N121" s="9" t="str">
        <f aca="false">IFERROR(VLOOKUP(D121,categorieen!$D:$E,2,0),"")</f>
        <v>Natuur</v>
      </c>
      <c r="O121" s="9" t="str">
        <f aca="false">IFERROR(VLOOKUP(E121,categorieen!$D:$E,2,0),"")</f>
        <v>Eten en Drinken (ED)</v>
      </c>
      <c r="P121" s="9" t="str">
        <f aca="false">IFERROR(VLOOKUP(F121,categorieen!$D:$E,2,0),"")</f>
        <v>In de volksmond (IDV)</v>
      </c>
      <c r="Q121" s="9" t="str">
        <f aca="false">IFERROR(VLOOKUP(G121,categorieen!$D:$E,2,0),"")</f>
        <v>Dierlijk</v>
      </c>
      <c r="R121" s="9" t="str">
        <f aca="false">IFERROR(VLOOKUP(H121,categorieen!$D:$E,2,0),"")</f>
        <v/>
      </c>
      <c r="S121" s="9" t="str">
        <f aca="false">IFERROR(VLOOKUP(I121,categorieen!$D:$E,2,0),"")</f>
        <v/>
      </c>
      <c r="T121" s="9" t="str">
        <f aca="false">IFERROR(VLOOKUP(J121,categorieen!$D:$E,2,0),"")</f>
        <v/>
      </c>
    </row>
    <row r="122" customFormat="false" ht="15" hidden="false" customHeight="false" outlineLevel="0" collapsed="false">
      <c r="A122" s="9" t="s">
        <v>156</v>
      </c>
      <c r="B122" s="9"/>
      <c r="C122" s="9" t="n">
        <v>39</v>
      </c>
      <c r="D122" s="9" t="n">
        <v>42</v>
      </c>
      <c r="E122" s="9"/>
      <c r="F122" s="9"/>
      <c r="G122" s="9"/>
      <c r="H122" s="9"/>
      <c r="I122" s="9"/>
      <c r="J122" s="9"/>
      <c r="K122" s="9"/>
      <c r="L122" s="9"/>
      <c r="M122" s="9" t="str">
        <f aca="false">IFERROR(VLOOKUP(C122,categorieen!$D:$E,2,0),"")</f>
        <v>Theater</v>
      </c>
      <c r="N122" s="9" t="str">
        <f aca="false">IFERROR(VLOOKUP(D122,categorieen!$D:$E,2,0),"")</f>
        <v>7 letters</v>
      </c>
      <c r="O122" s="9" t="str">
        <f aca="false">IFERROR(VLOOKUP(E122,categorieen!$D:$E,2,0),"")</f>
        <v/>
      </c>
      <c r="P122" s="9" t="str">
        <f aca="false">IFERROR(VLOOKUP(F122,categorieen!$D:$E,2,0),"")</f>
        <v/>
      </c>
      <c r="Q122" s="9" t="str">
        <f aca="false">IFERROR(VLOOKUP(G122,categorieen!$D:$E,2,0),"")</f>
        <v/>
      </c>
      <c r="R122" s="9" t="str">
        <f aca="false">IFERROR(VLOOKUP(H122,categorieen!$D:$E,2,0),"")</f>
        <v/>
      </c>
      <c r="S122" s="9" t="str">
        <f aca="false">IFERROR(VLOOKUP(I122,categorieen!$D:$E,2,0),"")</f>
        <v/>
      </c>
      <c r="T122" s="9" t="str">
        <f aca="false">IFERROR(VLOOKUP(J122,categorieen!$D:$E,2,0),"")</f>
        <v/>
      </c>
    </row>
    <row r="123" customFormat="false" ht="15" hidden="false" customHeight="false" outlineLevel="0" collapsed="false">
      <c r="A123" s="10" t="s">
        <v>157</v>
      </c>
      <c r="B123" s="9"/>
      <c r="C123" s="9" t="n">
        <v>16</v>
      </c>
      <c r="D123" s="9" t="n">
        <v>15</v>
      </c>
      <c r="E123" s="9" t="n">
        <v>11</v>
      </c>
      <c r="F123" s="9"/>
      <c r="G123" s="9"/>
      <c r="H123" s="9"/>
      <c r="I123" s="9"/>
      <c r="J123" s="9"/>
      <c r="K123" s="9"/>
      <c r="L123" s="9"/>
      <c r="M123" s="9" t="str">
        <f aca="false">IFERROR(VLOOKUP(C123,categorieen!$D:$E,2,0),"")</f>
        <v>Buurtschap</v>
      </c>
      <c r="N123" s="9" t="str">
        <f aca="false">IFERROR(VLOOKUP(D123,categorieen!$D:$E,2,0),"")</f>
        <v>Getal/Cijfer</v>
      </c>
      <c r="O123" s="9" t="str">
        <f aca="false">IFERROR(VLOOKUP(E123,categorieen!$D:$E,2,0),"")</f>
        <v>Tilburg</v>
      </c>
      <c r="P123" s="9" t="str">
        <f aca="false">IFERROR(VLOOKUP(F123,categorieen!$D:$E,2,0),"")</f>
        <v/>
      </c>
      <c r="Q123" s="9" t="str">
        <f aca="false">IFERROR(VLOOKUP(G123,categorieen!$D:$E,2,0),"")</f>
        <v/>
      </c>
      <c r="R123" s="9" t="str">
        <f aca="false">IFERROR(VLOOKUP(H123,categorieen!$D:$E,2,0),"")</f>
        <v/>
      </c>
      <c r="S123" s="9" t="str">
        <f aca="false">IFERROR(VLOOKUP(I123,categorieen!$D:$E,2,0),"")</f>
        <v/>
      </c>
      <c r="T123" s="9" t="str">
        <f aca="false">IFERROR(VLOOKUP(J123,categorieen!$D:$E,2,0),"")</f>
        <v/>
      </c>
    </row>
    <row r="124" customFormat="false" ht="15" hidden="false" customHeight="false" outlineLevel="0" collapsed="false">
      <c r="A124" s="9" t="s">
        <v>158</v>
      </c>
      <c r="B124" s="9"/>
      <c r="C124" s="9" t="n">
        <v>10</v>
      </c>
      <c r="D124" s="9" t="n">
        <v>11</v>
      </c>
      <c r="E124" s="9" t="n">
        <v>21</v>
      </c>
      <c r="F124" s="9"/>
      <c r="G124" s="9"/>
      <c r="H124" s="9"/>
      <c r="I124" s="9"/>
      <c r="J124" s="9"/>
      <c r="K124" s="9"/>
      <c r="L124" s="9"/>
      <c r="M124" s="9" t="str">
        <f aca="false">IFERROR(VLOOKUP(C124,categorieen!$D:$E,2,0),"")</f>
        <v>Begint met een W</v>
      </c>
      <c r="N124" s="9" t="str">
        <f aca="false">IFERROR(VLOOKUP(D124,categorieen!$D:$E,2,0),"")</f>
        <v>Tilburg</v>
      </c>
      <c r="O124" s="9" t="str">
        <f aca="false">IFERROR(VLOOKUP(E124,categorieen!$D:$E,2,0),"")</f>
        <v>West Brabant</v>
      </c>
      <c r="P124" s="9" t="str">
        <f aca="false">IFERROR(VLOOKUP(F124,categorieen!$D:$E,2,0),"")</f>
        <v/>
      </c>
      <c r="Q124" s="9" t="str">
        <f aca="false">IFERROR(VLOOKUP(G124,categorieen!$D:$E,2,0),"")</f>
        <v/>
      </c>
      <c r="R124" s="9" t="str">
        <f aca="false">IFERROR(VLOOKUP(H124,categorieen!$D:$E,2,0),"")</f>
        <v/>
      </c>
      <c r="S124" s="9" t="str">
        <f aca="false">IFERROR(VLOOKUP(I124,categorieen!$D:$E,2,0),"")</f>
        <v/>
      </c>
      <c r="T124" s="9" t="str">
        <f aca="false">IFERROR(VLOOKUP(J124,categorieen!$D:$E,2,0),"")</f>
        <v/>
      </c>
    </row>
    <row r="125" customFormat="false" ht="13.8" hidden="false" customHeight="false" outlineLevel="0" collapsed="false">
      <c r="A125" s="9" t="s">
        <v>159</v>
      </c>
      <c r="B125" s="9"/>
      <c r="C125" s="9" t="n">
        <v>10</v>
      </c>
      <c r="D125" s="9" t="n">
        <v>21</v>
      </c>
      <c r="E125" s="9" t="n">
        <v>33</v>
      </c>
      <c r="F125" s="9" t="n">
        <v>11</v>
      </c>
      <c r="G125" s="9" t="n">
        <v>19</v>
      </c>
      <c r="H125" s="9" t="n">
        <v>9</v>
      </c>
      <c r="I125" s="9" t="n">
        <v>20</v>
      </c>
      <c r="J125" s="9"/>
      <c r="K125" s="9"/>
      <c r="L125" s="9"/>
      <c r="M125" s="9" t="str">
        <f aca="false">IFERROR(VLOOKUP(C125,categorieen!$D:$E,2,0),"")</f>
        <v>Begint met een W</v>
      </c>
      <c r="N125" s="9" t="str">
        <f aca="false">IFERROR(VLOOKUP(D125,categorieen!$D:$E,2,0),"")</f>
        <v>West Brabant</v>
      </c>
      <c r="O125" s="9" t="str">
        <f aca="false">IFERROR(VLOOKUP(E125,categorieen!$D:$E,2,0),"")</f>
        <v>076 (Breda)</v>
      </c>
      <c r="P125" s="9" t="str">
        <f aca="false">IFERROR(VLOOKUP(F125,categorieen!$D:$E,2,0),"")</f>
        <v>Tilburg</v>
      </c>
      <c r="Q125" s="9" t="str">
        <f aca="false">IFERROR(VLOOKUP(G125,categorieen!$D:$E,2,0),"")</f>
        <v>Natuur</v>
      </c>
      <c r="R125" s="9" t="str">
        <f aca="false">IFERROR(VLOOKUP(H125,categorieen!$D:$E,2,0),"")</f>
        <v>Kiosk</v>
      </c>
      <c r="S125" s="9" t="str">
        <f aca="false">IFERROR(VLOOKUP(I125,categorieen!$D:$E,2,0),"")</f>
        <v>Festival</v>
      </c>
      <c r="T125" s="9" t="str">
        <f aca="false">IFERROR(VLOOKUP(J125,categorieen!$D:$E,2,0),"")</f>
        <v/>
      </c>
    </row>
    <row r="126" customFormat="false" ht="15" hidden="false" customHeight="false" outlineLevel="0" collapsed="false">
      <c r="A126" s="9" t="s">
        <v>160</v>
      </c>
      <c r="B126" s="9"/>
      <c r="C126" s="9" t="n">
        <v>10</v>
      </c>
      <c r="D126" s="9" t="n">
        <v>38</v>
      </c>
      <c r="E126" s="9" t="n">
        <v>5</v>
      </c>
      <c r="F126" s="9" t="n">
        <v>31</v>
      </c>
      <c r="G126" s="9"/>
      <c r="H126" s="9"/>
      <c r="I126" s="9"/>
      <c r="J126" s="9"/>
      <c r="K126" s="9"/>
      <c r="L126" s="9"/>
      <c r="M126" s="9" t="str">
        <f aca="false">IFERROR(VLOOKUP(C126,categorieen!$D:$E,2,0),"")</f>
        <v>Begint met een W</v>
      </c>
      <c r="N126" s="9" t="str">
        <f aca="false">IFERROR(VLOOKUP(D126,categorieen!$D:$E,2,0),"")</f>
        <v>Sport</v>
      </c>
      <c r="O126" s="9" t="str">
        <f aca="false">IFERROR(VLOOKUP(E126,categorieen!$D:$E,2,0),"")</f>
        <v>Bekende Brabanders</v>
      </c>
      <c r="P126" s="9" t="str">
        <f aca="false">IFERROR(VLOOKUP(F126,categorieen!$D:$E,2,0),"")</f>
        <v>Kleurrijk</v>
      </c>
      <c r="Q126" s="9" t="str">
        <f aca="false">IFERROR(VLOOKUP(G126,categorieen!$D:$E,2,0),"")</f>
        <v/>
      </c>
      <c r="R126" s="9" t="str">
        <f aca="false">IFERROR(VLOOKUP(H126,categorieen!$D:$E,2,0),"")</f>
        <v/>
      </c>
      <c r="S126" s="9" t="str">
        <f aca="false">IFERROR(VLOOKUP(I126,categorieen!$D:$E,2,0),"")</f>
        <v/>
      </c>
      <c r="T126" s="9" t="str">
        <f aca="false">IFERROR(VLOOKUP(J126,categorieen!$D:$E,2,0),"")</f>
        <v/>
      </c>
    </row>
    <row r="127" customFormat="false" ht="15" hidden="false" customHeight="false" outlineLevel="0" collapsed="false">
      <c r="A127" s="9" t="s">
        <v>161</v>
      </c>
      <c r="B127" s="9"/>
      <c r="C127" s="9" t="n">
        <v>10</v>
      </c>
      <c r="D127" s="9" t="n">
        <v>4</v>
      </c>
      <c r="E127" s="9" t="n">
        <v>16</v>
      </c>
      <c r="F127" s="9"/>
      <c r="G127" s="9"/>
      <c r="H127" s="9"/>
      <c r="I127" s="9"/>
      <c r="J127" s="9"/>
      <c r="K127" s="9"/>
      <c r="L127" s="9"/>
      <c r="M127" s="9" t="str">
        <f aca="false">IFERROR(VLOOKUP(C127,categorieen!$D:$E,2,0),"")</f>
        <v>Begint met een W</v>
      </c>
      <c r="N127" s="9" t="str">
        <f aca="false">IFERROR(VLOOKUP(D127,categorieen!$D:$E,2,0),"")</f>
        <v>Zes letters</v>
      </c>
      <c r="O127" s="9" t="str">
        <f aca="false">IFERROR(VLOOKUP(E127,categorieen!$D:$E,2,0),"")</f>
        <v>Buurtschap</v>
      </c>
      <c r="P127" s="9" t="str">
        <f aca="false">IFERROR(VLOOKUP(F127,categorieen!$D:$E,2,0),"")</f>
        <v/>
      </c>
      <c r="Q127" s="9" t="str">
        <f aca="false">IFERROR(VLOOKUP(G127,categorieen!$D:$E,2,0),"")</f>
        <v/>
      </c>
      <c r="R127" s="9" t="str">
        <f aca="false">IFERROR(VLOOKUP(H127,categorieen!$D:$E,2,0),"")</f>
        <v/>
      </c>
      <c r="S127" s="9" t="str">
        <f aca="false">IFERROR(VLOOKUP(I127,categorieen!$D:$E,2,0),"")</f>
        <v/>
      </c>
      <c r="T127" s="9" t="str">
        <f aca="false">IFERROR(VLOOKUP(J127,categorieen!$D:$E,2,0),"")</f>
        <v/>
      </c>
    </row>
    <row r="128" customFormat="false" ht="15" hidden="false" customHeight="false" outlineLevel="0" collapsed="false">
      <c r="A128" s="9" t="s">
        <v>162</v>
      </c>
      <c r="B128" s="9"/>
      <c r="C128" s="9" t="n">
        <v>25</v>
      </c>
      <c r="D128" s="9" t="n">
        <v>10</v>
      </c>
      <c r="E128" s="9" t="n">
        <v>8</v>
      </c>
      <c r="F128" s="9"/>
      <c r="G128" s="9"/>
      <c r="H128" s="9"/>
      <c r="I128" s="9"/>
      <c r="J128" s="9"/>
      <c r="K128" s="9"/>
      <c r="L128" s="9"/>
      <c r="M128" s="9" t="str">
        <f aca="false">IFERROR(VLOOKUP(C128,categorieen!$D:$E,2,0),"")</f>
        <v>1 van de 8</v>
      </c>
      <c r="N128" s="9" t="str">
        <f aca="false">IFERROR(VLOOKUP(D128,categorieen!$D:$E,2,0),"")</f>
        <v>Begint met een W</v>
      </c>
      <c r="O128" s="9" t="str">
        <f aca="false">IFERROR(VLOOKUP(E128,categorieen!$D:$E,2,0),"")</f>
        <v>040 (Eindhoven)</v>
      </c>
      <c r="P128" s="9" t="str">
        <f aca="false">IFERROR(VLOOKUP(F128,categorieen!$D:$E,2,0),"")</f>
        <v/>
      </c>
      <c r="Q128" s="9" t="str">
        <f aca="false">IFERROR(VLOOKUP(G128,categorieen!$D:$E,2,0),"")</f>
        <v/>
      </c>
      <c r="R128" s="9" t="str">
        <f aca="false">IFERROR(VLOOKUP(H128,categorieen!$D:$E,2,0),"")</f>
        <v/>
      </c>
      <c r="S128" s="9" t="str">
        <f aca="false">IFERROR(VLOOKUP(I128,categorieen!$D:$E,2,0),"")</f>
        <v/>
      </c>
      <c r="T128" s="9" t="str">
        <f aca="false">IFERROR(VLOOKUP(J128,categorieen!$D:$E,2,0),"")</f>
        <v/>
      </c>
    </row>
    <row r="129" customFormat="false" ht="15" hidden="false" customHeight="false" outlineLevel="0" collapsed="false">
      <c r="A129" s="10" t="s">
        <v>163</v>
      </c>
      <c r="B129" s="9"/>
      <c r="C129" s="10" t="n">
        <v>2</v>
      </c>
      <c r="D129" s="10" t="n">
        <v>13</v>
      </c>
      <c r="E129" s="9"/>
      <c r="F129" s="9"/>
      <c r="G129" s="9"/>
      <c r="H129" s="9"/>
      <c r="I129" s="9"/>
      <c r="J129" s="9"/>
      <c r="K129" s="9"/>
      <c r="L129" s="9"/>
      <c r="M129" s="9" t="str">
        <f aca="false">IFERROR(VLOOKUP(C129,categorieen!$D:$E,2,0),"")</f>
        <v>(stand)beeld / (Rijks)monument</v>
      </c>
      <c r="N129" s="9" t="str">
        <f aca="false">IFERROR(VLOOKUP(D129,categorieen!$D:$E,2,0),"")</f>
        <v>Met dubbel T</v>
      </c>
      <c r="O129" s="9" t="str">
        <f aca="false">IFERROR(VLOOKUP(E129,categorieen!$D:$E,2,0),"")</f>
        <v/>
      </c>
      <c r="P129" s="9" t="str">
        <f aca="false">IFERROR(VLOOKUP(F129,categorieen!$D:$E,2,0),"")</f>
        <v/>
      </c>
      <c r="Q129" s="9" t="str">
        <f aca="false">IFERROR(VLOOKUP(G129,categorieen!$D:$E,2,0),"")</f>
        <v/>
      </c>
      <c r="R129" s="9" t="str">
        <f aca="false">IFERROR(VLOOKUP(H129,categorieen!$D:$E,2,0),"")</f>
        <v/>
      </c>
      <c r="S129" s="9" t="str">
        <f aca="false">IFERROR(VLOOKUP(I129,categorieen!$D:$E,2,0),"")</f>
        <v/>
      </c>
      <c r="T129" s="9" t="str">
        <f aca="false">IFERROR(VLOOKUP(J129,categorieen!$D:$E,2,0),"")</f>
        <v/>
      </c>
    </row>
    <row r="130" customFormat="false" ht="15" hidden="false" customHeight="false" outlineLevel="0" collapsed="false">
      <c r="A130" s="9" t="s">
        <v>164</v>
      </c>
      <c r="B130" s="9"/>
      <c r="C130" s="9" t="n">
        <v>40</v>
      </c>
      <c r="D130" s="9" t="n">
        <v>10</v>
      </c>
      <c r="E130" s="9" t="n">
        <v>27</v>
      </c>
      <c r="F130" s="9" t="n">
        <v>43</v>
      </c>
      <c r="G130" s="9" t="n">
        <v>22</v>
      </c>
      <c r="H130" s="9"/>
      <c r="I130" s="9"/>
      <c r="J130" s="9"/>
      <c r="K130" s="9"/>
      <c r="L130" s="9"/>
      <c r="M130" s="9" t="str">
        <f aca="false">IFERROR(VLOOKUP(C130,categorieen!$D:$E,2,0),"")</f>
        <v>Typisch Brabants (TB)</v>
      </c>
      <c r="N130" s="9" t="str">
        <f aca="false">IFERROR(VLOOKUP(D130,categorieen!$D:$E,2,0),"")</f>
        <v>Begint met een W</v>
      </c>
      <c r="O130" s="9" t="str">
        <f aca="false">IFERROR(VLOOKUP(E130,categorieen!$D:$E,2,0),"")</f>
        <v>Eten en Drinken (ED)</v>
      </c>
      <c r="P130" s="9" t="str">
        <f aca="false">IFERROR(VLOOKUP(F130,categorieen!$D:$E,2,0),"")</f>
        <v>Dierlijk</v>
      </c>
      <c r="Q130" s="9" t="str">
        <f aca="false">IFERROR(VLOOKUP(G130,categorieen!$D:$E,2,0),"")</f>
        <v>3x dezelfde letter</v>
      </c>
      <c r="R130" s="9" t="str">
        <f aca="false">IFERROR(VLOOKUP(H130,categorieen!$D:$E,2,0),"")</f>
        <v/>
      </c>
      <c r="S130" s="9" t="str">
        <f aca="false">IFERROR(VLOOKUP(I130,categorieen!$D:$E,2,0),"")</f>
        <v/>
      </c>
      <c r="T130" s="9" t="str">
        <f aca="false">IFERROR(VLOOKUP(J130,categorieen!$D:$E,2,0),"")</f>
        <v/>
      </c>
    </row>
    <row r="131" customFormat="false" ht="15" hidden="false" customHeight="false" outlineLevel="0" collapsed="false">
      <c r="A131" s="9" t="s">
        <v>165</v>
      </c>
      <c r="B131" s="9" t="s">
        <v>166</v>
      </c>
      <c r="C131" s="9" t="n">
        <v>10</v>
      </c>
      <c r="D131" s="9" t="n">
        <v>21</v>
      </c>
      <c r="E131" s="9" t="n">
        <v>1</v>
      </c>
      <c r="F131" s="9" t="n">
        <v>24</v>
      </c>
      <c r="G131" s="9"/>
      <c r="H131" s="9"/>
      <c r="I131" s="9"/>
      <c r="J131" s="9"/>
      <c r="K131" s="9"/>
      <c r="L131" s="9"/>
      <c r="M131" s="9" t="str">
        <f aca="false">IFERROR(VLOOKUP(C131,categorieen!$D:$E,2,0),"")</f>
        <v>Begint met een W</v>
      </c>
      <c r="N131" s="9" t="str">
        <f aca="false">IFERROR(VLOOKUP(D131,categorieen!$D:$E,2,0),"")</f>
        <v>West Brabant</v>
      </c>
      <c r="O131" s="9" t="str">
        <f aca="false">IFERROR(VLOOKUP(E131,categorieen!$D:$E,2,0),"")</f>
        <v>Eerste- en Eindletter hetzelfde</v>
      </c>
      <c r="P131" s="9" t="str">
        <f aca="false">IFERROR(VLOOKUP(F131,categorieen!$D:$E,2,0),"")</f>
        <v>3 of 4 letters</v>
      </c>
      <c r="Q131" s="9" t="str">
        <f aca="false">IFERROR(VLOOKUP(G131,categorieen!$D:$E,2,0),"")</f>
        <v/>
      </c>
      <c r="R131" s="9" t="str">
        <f aca="false">IFERROR(VLOOKUP(H131,categorieen!$D:$E,2,0),"")</f>
        <v/>
      </c>
      <c r="S131" s="9" t="str">
        <f aca="false">IFERROR(VLOOKUP(I131,categorieen!$D:$E,2,0),"")</f>
        <v/>
      </c>
      <c r="T131" s="9" t="str">
        <f aca="false">IFERROR(VLOOKUP(J131,categorieen!$D:$E,2,0),"")</f>
        <v/>
      </c>
    </row>
    <row r="132" customFormat="false" ht="15" hidden="false" customHeight="false" outlineLevel="0" collapsed="false">
      <c r="A132" s="9" t="s">
        <v>167</v>
      </c>
      <c r="B132" s="9"/>
      <c r="C132" s="9" t="n">
        <v>37</v>
      </c>
      <c r="D132" s="9" t="n">
        <v>27</v>
      </c>
      <c r="E132" s="9" t="n">
        <v>22</v>
      </c>
      <c r="F132" s="9" t="n">
        <v>26</v>
      </c>
      <c r="G132" s="9"/>
      <c r="H132" s="9"/>
      <c r="I132" s="9"/>
      <c r="J132" s="9"/>
      <c r="K132" s="9"/>
      <c r="L132" s="9"/>
      <c r="M132" s="9" t="str">
        <f aca="false">IFERROR(VLOOKUP(C132,categorieen!$D:$E,2,0),"")</f>
        <v>s Hertogenbosch (DB)</v>
      </c>
      <c r="N132" s="9" t="str">
        <f aca="false">IFERROR(VLOOKUP(D132,categorieen!$D:$E,2,0),"")</f>
        <v>Eten en Drinken (ED)</v>
      </c>
      <c r="O132" s="9" t="str">
        <f aca="false">IFERROR(VLOOKUP(E132,categorieen!$D:$E,2,0),"")</f>
        <v>3x dezelfde letter</v>
      </c>
      <c r="P132" s="9" t="str">
        <f aca="false">IFERROR(VLOOKUP(F132,categorieen!$D:$E,2,0),"")</f>
        <v>Eindigt op el</v>
      </c>
      <c r="Q132" s="9" t="str">
        <f aca="false">IFERROR(VLOOKUP(G132,categorieen!$D:$E,2,0),"")</f>
        <v/>
      </c>
      <c r="R132" s="9" t="str">
        <f aca="false">IFERROR(VLOOKUP(H132,categorieen!$D:$E,2,0),"")</f>
        <v/>
      </c>
      <c r="S132" s="9" t="str">
        <f aca="false">IFERROR(VLOOKUP(I132,categorieen!$D:$E,2,0),"")</f>
        <v/>
      </c>
      <c r="T132" s="9" t="str">
        <f aca="false">IFERROR(VLOOKUP(J132,categorieen!$D:$E,2,0),"")</f>
        <v/>
      </c>
    </row>
    <row r="133" customFormat="false" ht="15" hidden="false" customHeight="false" outlineLevel="0" collapsed="false">
      <c r="A133" s="14" t="s">
        <v>168</v>
      </c>
      <c r="B133" s="9"/>
      <c r="C133" s="10" t="n">
        <v>2</v>
      </c>
      <c r="D133" s="10" t="n">
        <v>13</v>
      </c>
      <c r="E133" s="9" t="n">
        <v>22</v>
      </c>
      <c r="F133" s="9"/>
      <c r="G133" s="9"/>
      <c r="H133" s="9"/>
      <c r="I133" s="9"/>
      <c r="J133" s="9"/>
      <c r="K133" s="9"/>
      <c r="L133" s="9"/>
      <c r="M133" s="9" t="str">
        <f aca="false">IFERROR(VLOOKUP(C133,categorieen!$D:$E,2,0),"")</f>
        <v>(stand)beeld / (Rijks)monument</v>
      </c>
      <c r="N133" s="9" t="str">
        <f aca="false">IFERROR(VLOOKUP(D133,categorieen!$D:$E,2,0),"")</f>
        <v>Met dubbel T</v>
      </c>
      <c r="O133" s="9" t="str">
        <f aca="false">IFERROR(VLOOKUP(E133,categorieen!$D:$E,2,0),"")</f>
        <v>3x dezelfde letter</v>
      </c>
      <c r="P133" s="9" t="str">
        <f aca="false">IFERROR(VLOOKUP(F133,categorieen!$D:$E,2,0),"")</f>
        <v/>
      </c>
      <c r="Q133" s="9" t="str">
        <f aca="false">IFERROR(VLOOKUP(G133,categorieen!$D:$E,2,0),"")</f>
        <v/>
      </c>
      <c r="R133" s="9" t="str">
        <f aca="false">IFERROR(VLOOKUP(H133,categorieen!$D:$E,2,0),"")</f>
        <v/>
      </c>
      <c r="S133" s="9" t="str">
        <f aca="false">IFERROR(VLOOKUP(I133,categorieen!$D:$E,2,0),"")</f>
        <v/>
      </c>
      <c r="T133" s="9" t="str">
        <f aca="false">IFERROR(VLOOKUP(J133,categorieen!$D:$E,2,0),"")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6" activeCellId="0" sqref="B6"/>
    </sheetView>
  </sheetViews>
  <sheetFormatPr defaultRowHeight="15" zeroHeight="false" outlineLevelRow="0" outlineLevelCol="0"/>
  <cols>
    <col collapsed="false" customWidth="true" hidden="false" outlineLevel="0" max="1" min="1" style="0" width="35.7"/>
    <col collapsed="false" customWidth="true" hidden="false" outlineLevel="0" max="2" min="2" style="0" width="25.85"/>
    <col collapsed="false" customWidth="true" hidden="false" outlineLevel="0" max="3" min="3" style="0" width="30.14"/>
    <col collapsed="false" customWidth="true" hidden="false" outlineLevel="0" max="4" min="4" style="0" width="30.57"/>
    <col collapsed="false" customWidth="true" hidden="false" outlineLevel="0" max="5" min="5" style="0" width="30.42"/>
    <col collapsed="false" customWidth="true" hidden="false" outlineLevel="0" max="6" min="6" style="0" width="15.57"/>
    <col collapsed="false" customWidth="true" hidden="false" outlineLevel="0" max="7" min="7" style="0" width="14.14"/>
    <col collapsed="false" customWidth="true" hidden="false" outlineLevel="0" max="8" min="8" style="0" width="8.85"/>
    <col collapsed="false" customWidth="true" hidden="false" outlineLevel="0" max="9" min="9" style="0" width="26.57"/>
    <col collapsed="false" customWidth="true" hidden="false" outlineLevel="0" max="10" min="10" style="0" width="14.71"/>
    <col collapsed="false" customWidth="true" hidden="false" outlineLevel="0" max="11" min="11" style="0" width="12.71"/>
    <col collapsed="false" customWidth="true" hidden="false" outlineLevel="0" max="15" min="12" style="0" width="2"/>
    <col collapsed="false" customWidth="true" hidden="false" outlineLevel="0" max="1025" min="16" style="0" width="8.53"/>
  </cols>
  <sheetData>
    <row r="1" customFormat="false" ht="19.5" hidden="false" customHeight="true" outlineLevel="0" collapsed="false">
      <c r="A1" s="18" t="n">
        <v>16</v>
      </c>
      <c r="B1" s="0" t="str">
        <f aca="false">VLOOKUP(A1,categorieen!A:B,2,0)</f>
        <v>Buurtschap</v>
      </c>
      <c r="C1" s="18" t="n">
        <v>13</v>
      </c>
      <c r="D1" s="0" t="str">
        <f aca="false">VLOOKUP(C1,categorieen!A:B,2,0)</f>
        <v>Met dubbel T</v>
      </c>
      <c r="E1" s="18" t="n">
        <v>22</v>
      </c>
      <c r="F1" s="0" t="str">
        <f aca="false">VLOOKUP(E1,categorieen!A:B,2,0)</f>
        <v>3x dezelfde letter</v>
      </c>
    </row>
    <row r="3" customFormat="false" ht="15" hidden="false" customHeight="false" outlineLevel="0" collapsed="false">
      <c r="A3" s="19" t="e">
        <f aca="false" t="array" ref="A3:A47">TRANSPOSE(LIJSTJEMAKEN(A1))</f>
        <v>#VALUE!</v>
      </c>
      <c r="C3" s="19" t="e">
        <f aca="false" t="array" ref="C3:C47">TRANSPOSE(LIJSTJEMAKEN(C1))</f>
        <v>#VALUE!</v>
      </c>
      <c r="E3" s="19" t="e">
        <f aca="false" t="array" ref="E3:E47">TRANSPOSE(LIJSTJEMAKEN(E1))</f>
        <v>#VALUE!</v>
      </c>
    </row>
    <row r="4" customFormat="false" ht="15" hidden="false" customHeight="false" outlineLevel="0" collapsed="false">
      <c r="A4" s="19" t="e">
        <v>#VALUE!</v>
      </c>
      <c r="C4" s="19" t="e">
        <v>#VALUE!</v>
      </c>
      <c r="E4" s="19" t="e">
        <v>#VALUE!</v>
      </c>
    </row>
    <row r="5" customFormat="false" ht="15" hidden="false" customHeight="false" outlineLevel="0" collapsed="false">
      <c r="A5" s="19" t="e">
        <v>#VALUE!</v>
      </c>
      <c r="C5" s="19" t="e">
        <v>#VALUE!</v>
      </c>
      <c r="E5" s="19" t="e">
        <v>#VALUE!</v>
      </c>
    </row>
    <row r="6" customFormat="false" ht="15" hidden="false" customHeight="false" outlineLevel="0" collapsed="false">
      <c r="A6" s="19" t="e">
        <v>#VALUE!</v>
      </c>
      <c r="C6" s="19" t="e">
        <v>#VALUE!</v>
      </c>
      <c r="E6" s="19" t="e">
        <v>#VALUE!</v>
      </c>
    </row>
    <row r="7" customFormat="false" ht="15" hidden="false" customHeight="false" outlineLevel="0" collapsed="false">
      <c r="A7" s="19" t="e">
        <v>#VALUE!</v>
      </c>
      <c r="C7" s="19" t="e">
        <v>#VALUE!</v>
      </c>
      <c r="E7" s="19" t="e">
        <v>#VALUE!</v>
      </c>
    </row>
    <row r="8" customFormat="false" ht="15" hidden="false" customHeight="false" outlineLevel="0" collapsed="false">
      <c r="A8" s="19" t="e">
        <v>#VALUE!</v>
      </c>
      <c r="C8" s="19" t="e">
        <v>#VALUE!</v>
      </c>
      <c r="E8" s="19" t="e">
        <v>#VALUE!</v>
      </c>
    </row>
    <row r="9" customFormat="false" ht="15" hidden="false" customHeight="false" outlineLevel="0" collapsed="false">
      <c r="A9" s="19" t="e">
        <v>#VALUE!</v>
      </c>
      <c r="C9" s="19" t="e">
        <v>#VALUE!</v>
      </c>
      <c r="E9" s="19" t="e">
        <v>#VALUE!</v>
      </c>
    </row>
    <row r="10" customFormat="false" ht="15" hidden="false" customHeight="false" outlineLevel="0" collapsed="false">
      <c r="A10" s="19" t="e">
        <v>#VALUE!</v>
      </c>
      <c r="C10" s="19" t="e">
        <v>#VALUE!</v>
      </c>
      <c r="E10" s="19" t="e">
        <v>#VALUE!</v>
      </c>
    </row>
    <row r="11" customFormat="false" ht="15" hidden="false" customHeight="false" outlineLevel="0" collapsed="false">
      <c r="A11" s="19" t="e">
        <v>#VALUE!</v>
      </c>
      <c r="C11" s="19" t="e">
        <v>#VALUE!</v>
      </c>
      <c r="E11" s="19" t="e">
        <v>#VALUE!</v>
      </c>
    </row>
    <row r="12" customFormat="false" ht="15" hidden="false" customHeight="false" outlineLevel="0" collapsed="false">
      <c r="A12" s="19" t="e">
        <v>#VALUE!</v>
      </c>
      <c r="C12" s="19" t="e">
        <v>#VALUE!</v>
      </c>
      <c r="E12" s="19" t="e">
        <v>#VALUE!</v>
      </c>
    </row>
    <row r="13" customFormat="false" ht="15" hidden="false" customHeight="false" outlineLevel="0" collapsed="false">
      <c r="A13" s="19" t="e">
        <v>#VALUE!</v>
      </c>
      <c r="C13" s="19" t="e">
        <v>#VALUE!</v>
      </c>
      <c r="E13" s="19" t="e">
        <v>#VALUE!</v>
      </c>
    </row>
    <row r="14" customFormat="false" ht="15" hidden="false" customHeight="false" outlineLevel="0" collapsed="false">
      <c r="A14" s="19" t="e">
        <v>#VALUE!</v>
      </c>
      <c r="C14" s="19" t="e">
        <v>#VALUE!</v>
      </c>
      <c r="E14" s="19" t="e">
        <v>#VALUE!</v>
      </c>
    </row>
    <row r="15" customFormat="false" ht="15" hidden="false" customHeight="false" outlineLevel="0" collapsed="false">
      <c r="A15" s="19" t="e">
        <v>#VALUE!</v>
      </c>
      <c r="C15" s="19" t="e">
        <v>#VALUE!</v>
      </c>
      <c r="E15" s="19" t="e">
        <v>#VALUE!</v>
      </c>
    </row>
    <row r="16" customFormat="false" ht="15" hidden="false" customHeight="false" outlineLevel="0" collapsed="false">
      <c r="A16" s="19" t="e">
        <v>#VALUE!</v>
      </c>
      <c r="C16" s="19" t="e">
        <v>#VALUE!</v>
      </c>
      <c r="E16" s="19" t="e">
        <v>#VALUE!</v>
      </c>
    </row>
    <row r="17" customFormat="false" ht="15" hidden="false" customHeight="false" outlineLevel="0" collapsed="false">
      <c r="A17" s="19" t="e">
        <v>#VALUE!</v>
      </c>
      <c r="C17" s="19" t="e">
        <v>#VALUE!</v>
      </c>
      <c r="E17" s="19" t="e">
        <v>#VALUE!</v>
      </c>
    </row>
    <row r="18" customFormat="false" ht="15" hidden="false" customHeight="false" outlineLevel="0" collapsed="false">
      <c r="A18" s="19" t="e">
        <v>#VALUE!</v>
      </c>
      <c r="C18" s="19" t="e">
        <v>#VALUE!</v>
      </c>
      <c r="E18" s="19" t="e">
        <v>#VALUE!</v>
      </c>
    </row>
    <row r="19" customFormat="false" ht="15" hidden="false" customHeight="false" outlineLevel="0" collapsed="false">
      <c r="A19" s="19" t="e">
        <v>#VALUE!</v>
      </c>
      <c r="C19" s="19" t="e">
        <v>#VALUE!</v>
      </c>
      <c r="E19" s="19" t="e">
        <v>#VALUE!</v>
      </c>
    </row>
    <row r="20" customFormat="false" ht="15" hidden="false" customHeight="false" outlineLevel="0" collapsed="false">
      <c r="A20" s="19" t="e">
        <v>#VALUE!</v>
      </c>
      <c r="C20" s="19" t="e">
        <v>#VALUE!</v>
      </c>
      <c r="E20" s="19" t="e">
        <v>#VALUE!</v>
      </c>
    </row>
    <row r="21" customFormat="false" ht="15" hidden="false" customHeight="false" outlineLevel="0" collapsed="false">
      <c r="A21" s="19" t="e">
        <v>#VALUE!</v>
      </c>
      <c r="C21" s="19" t="e">
        <v>#VALUE!</v>
      </c>
      <c r="E21" s="19" t="e">
        <v>#VALUE!</v>
      </c>
    </row>
    <row r="22" customFormat="false" ht="15" hidden="false" customHeight="false" outlineLevel="0" collapsed="false">
      <c r="A22" s="19" t="e">
        <v>#VALUE!</v>
      </c>
      <c r="C22" s="19" t="e">
        <v>#VALUE!</v>
      </c>
      <c r="E22" s="19" t="e">
        <v>#VALUE!</v>
      </c>
    </row>
    <row r="23" customFormat="false" ht="15" hidden="false" customHeight="false" outlineLevel="0" collapsed="false">
      <c r="A23" s="19" t="e">
        <v>#VALUE!</v>
      </c>
      <c r="C23" s="19" t="e">
        <v>#VALUE!</v>
      </c>
      <c r="E23" s="19" t="e">
        <v>#VALUE!</v>
      </c>
    </row>
    <row r="24" customFormat="false" ht="15" hidden="false" customHeight="false" outlineLevel="0" collapsed="false">
      <c r="A24" s="19" t="e">
        <v>#VALUE!</v>
      </c>
      <c r="C24" s="19" t="e">
        <v>#VALUE!</v>
      </c>
      <c r="E24" s="19" t="e">
        <v>#VALUE!</v>
      </c>
    </row>
    <row r="25" customFormat="false" ht="15" hidden="false" customHeight="false" outlineLevel="0" collapsed="false">
      <c r="A25" s="19" t="e">
        <v>#VALUE!</v>
      </c>
      <c r="C25" s="19" t="e">
        <v>#VALUE!</v>
      </c>
      <c r="E25" s="19" t="e">
        <v>#VALUE!</v>
      </c>
    </row>
    <row r="26" customFormat="false" ht="15" hidden="false" customHeight="false" outlineLevel="0" collapsed="false">
      <c r="A26" s="19" t="e">
        <v>#VALUE!</v>
      </c>
      <c r="C26" s="19" t="e">
        <v>#VALUE!</v>
      </c>
      <c r="E26" s="19" t="e">
        <v>#VALUE!</v>
      </c>
    </row>
    <row r="27" customFormat="false" ht="15" hidden="false" customHeight="false" outlineLevel="0" collapsed="false">
      <c r="A27" s="19" t="e">
        <v>#VALUE!</v>
      </c>
      <c r="C27" s="19" t="e">
        <v>#VALUE!</v>
      </c>
      <c r="E27" s="19" t="e">
        <v>#VALUE!</v>
      </c>
    </row>
    <row r="28" customFormat="false" ht="15" hidden="false" customHeight="false" outlineLevel="0" collapsed="false">
      <c r="A28" s="19" t="e">
        <v>#VALUE!</v>
      </c>
      <c r="C28" s="19" t="e">
        <v>#VALUE!</v>
      </c>
      <c r="E28" s="19" t="e">
        <v>#VALUE!</v>
      </c>
    </row>
    <row r="29" customFormat="false" ht="15" hidden="false" customHeight="false" outlineLevel="0" collapsed="false">
      <c r="A29" s="19" t="e">
        <v>#VALUE!</v>
      </c>
      <c r="C29" s="19" t="e">
        <v>#VALUE!</v>
      </c>
      <c r="E29" s="19" t="e">
        <v>#VALUE!</v>
      </c>
    </row>
    <row r="30" customFormat="false" ht="15" hidden="false" customHeight="false" outlineLevel="0" collapsed="false">
      <c r="A30" s="19" t="e">
        <v>#VALUE!</v>
      </c>
      <c r="C30" s="19" t="e">
        <v>#VALUE!</v>
      </c>
      <c r="E30" s="19" t="e">
        <v>#VALUE!</v>
      </c>
    </row>
    <row r="31" customFormat="false" ht="15" hidden="false" customHeight="false" outlineLevel="0" collapsed="false">
      <c r="A31" s="19" t="e">
        <v>#VALUE!</v>
      </c>
      <c r="C31" s="19" t="e">
        <v>#VALUE!</v>
      </c>
      <c r="E31" s="19" t="e">
        <v>#VALUE!</v>
      </c>
    </row>
    <row r="32" customFormat="false" ht="15" hidden="false" customHeight="false" outlineLevel="0" collapsed="false">
      <c r="A32" s="19" t="e">
        <v>#VALUE!</v>
      </c>
      <c r="C32" s="19" t="e">
        <v>#VALUE!</v>
      </c>
      <c r="E32" s="19" t="e">
        <v>#VALUE!</v>
      </c>
    </row>
    <row r="33" customFormat="false" ht="15" hidden="false" customHeight="false" outlineLevel="0" collapsed="false">
      <c r="A33" s="19" t="e">
        <v>#VALUE!</v>
      </c>
      <c r="C33" s="19" t="e">
        <v>#VALUE!</v>
      </c>
      <c r="E33" s="19" t="e">
        <v>#VALUE!</v>
      </c>
    </row>
    <row r="34" customFormat="false" ht="15" hidden="false" customHeight="false" outlineLevel="0" collapsed="false">
      <c r="A34" s="19" t="e">
        <v>#VALUE!</v>
      </c>
      <c r="C34" s="19" t="e">
        <v>#VALUE!</v>
      </c>
      <c r="E34" s="19" t="e">
        <v>#VALUE!</v>
      </c>
    </row>
    <row r="35" customFormat="false" ht="15" hidden="false" customHeight="false" outlineLevel="0" collapsed="false">
      <c r="A35" s="19" t="e">
        <v>#VALUE!</v>
      </c>
      <c r="C35" s="19" t="e">
        <v>#VALUE!</v>
      </c>
      <c r="E35" s="19" t="e">
        <v>#VALUE!</v>
      </c>
    </row>
    <row r="36" customFormat="false" ht="15" hidden="false" customHeight="false" outlineLevel="0" collapsed="false">
      <c r="A36" s="19" t="e">
        <v>#VALUE!</v>
      </c>
      <c r="C36" s="19" t="e">
        <v>#VALUE!</v>
      </c>
      <c r="E36" s="19" t="e">
        <v>#VALUE!</v>
      </c>
    </row>
    <row r="37" customFormat="false" ht="15" hidden="false" customHeight="false" outlineLevel="0" collapsed="false">
      <c r="A37" s="19" t="e">
        <v>#VALUE!</v>
      </c>
      <c r="C37" s="19" t="e">
        <v>#VALUE!</v>
      </c>
      <c r="E37" s="19" t="e">
        <v>#VALUE!</v>
      </c>
    </row>
    <row r="38" customFormat="false" ht="15" hidden="false" customHeight="false" outlineLevel="0" collapsed="false">
      <c r="A38" s="19" t="e">
        <v>#VALUE!</v>
      </c>
      <c r="C38" s="19" t="e">
        <v>#VALUE!</v>
      </c>
      <c r="E38" s="19" t="e">
        <v>#VALUE!</v>
      </c>
    </row>
    <row r="39" customFormat="false" ht="15" hidden="false" customHeight="false" outlineLevel="0" collapsed="false">
      <c r="A39" s="19" t="e">
        <v>#VALUE!</v>
      </c>
      <c r="C39" s="19" t="e">
        <v>#VALUE!</v>
      </c>
      <c r="E39" s="19" t="e">
        <v>#VALUE!</v>
      </c>
    </row>
    <row r="40" customFormat="false" ht="15" hidden="false" customHeight="false" outlineLevel="0" collapsed="false">
      <c r="A40" s="19" t="e">
        <v>#VALUE!</v>
      </c>
      <c r="C40" s="19" t="e">
        <v>#VALUE!</v>
      </c>
      <c r="E40" s="19" t="e">
        <v>#VALUE!</v>
      </c>
    </row>
    <row r="41" customFormat="false" ht="15" hidden="false" customHeight="false" outlineLevel="0" collapsed="false">
      <c r="A41" s="19" t="e">
        <v>#VALUE!</v>
      </c>
      <c r="C41" s="19" t="e">
        <v>#VALUE!</v>
      </c>
      <c r="E41" s="19" t="e">
        <v>#VALUE!</v>
      </c>
    </row>
    <row r="42" customFormat="false" ht="15" hidden="false" customHeight="false" outlineLevel="0" collapsed="false">
      <c r="A42" s="19" t="e">
        <v>#VALUE!</v>
      </c>
      <c r="C42" s="19" t="e">
        <v>#VALUE!</v>
      </c>
      <c r="E42" s="19" t="e">
        <v>#VALUE!</v>
      </c>
    </row>
    <row r="43" customFormat="false" ht="15" hidden="false" customHeight="false" outlineLevel="0" collapsed="false">
      <c r="A43" s="0" t="e">
        <v>#VALUE!</v>
      </c>
      <c r="C43" s="0" t="e">
        <v>#VALUE!</v>
      </c>
      <c r="E43" s="0" t="e">
        <v>#VALUE!</v>
      </c>
    </row>
    <row r="44" customFormat="false" ht="15" hidden="false" customHeight="false" outlineLevel="0" collapsed="false">
      <c r="A44" s="0" t="e">
        <v>#VALUE!</v>
      </c>
      <c r="C44" s="0" t="e">
        <v>#VALUE!</v>
      </c>
      <c r="E44" s="0" t="e">
        <v>#VALUE!</v>
      </c>
    </row>
    <row r="45" customFormat="false" ht="15" hidden="false" customHeight="false" outlineLevel="0" collapsed="false">
      <c r="A45" s="0" t="e">
        <v>#VALUE!</v>
      </c>
      <c r="C45" s="0" t="e">
        <v>#VALUE!</v>
      </c>
      <c r="E45" s="0" t="e">
        <v>#VALUE!</v>
      </c>
    </row>
    <row r="46" customFormat="false" ht="15" hidden="false" customHeight="false" outlineLevel="0" collapsed="false">
      <c r="A46" s="0" t="e">
        <v>#VALUE!</v>
      </c>
      <c r="C46" s="0" t="e">
        <v>#VALUE!</v>
      </c>
      <c r="E46" s="0" t="e">
        <v>#VALUE!</v>
      </c>
    </row>
    <row r="47" customFormat="false" ht="15" hidden="false" customHeight="false" outlineLevel="0" collapsed="false">
      <c r="A47" s="0" t="e">
        <v>#VALUE!</v>
      </c>
      <c r="C47" s="0" t="e">
        <v>#VALUE!</v>
      </c>
      <c r="E47" s="0" t="e">
        <v>#VALUE!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32"/>
  <sheetViews>
    <sheetView showFormulas="false" showGridLines="true" showRowColHeaders="true" showZeros="true" rightToLeft="false" tabSelected="false" showOutlineSymbols="true" defaultGridColor="true" view="normal" topLeftCell="A25" colorId="64" zoomScale="100" zoomScaleNormal="100" zoomScalePageLayoutView="100" workbookViewId="0">
      <selection pane="topLeft" activeCell="A53" activeCellId="0" sqref="A53"/>
    </sheetView>
  </sheetViews>
  <sheetFormatPr defaultRowHeight="15" zeroHeight="false" outlineLevelRow="0" outlineLevelCol="0"/>
  <cols>
    <col collapsed="false" customWidth="true" hidden="false" outlineLevel="0" max="1" min="1" style="0" width="30.14"/>
    <col collapsed="false" customWidth="true" hidden="false" outlineLevel="0" max="1025" min="2" style="0" width="8.53"/>
  </cols>
  <sheetData>
    <row r="1" customFormat="false" ht="15" hidden="false" customHeight="false" outlineLevel="0" collapsed="false">
      <c r="A1" s="9" t="s">
        <v>20</v>
      </c>
      <c r="B1" s="0" t="n">
        <f aca="false">LEN(A1)</f>
        <v>2</v>
      </c>
    </row>
    <row r="2" customFormat="false" ht="15" hidden="false" customHeight="false" outlineLevel="0" collapsed="false">
      <c r="A2" s="9" t="s">
        <v>104</v>
      </c>
      <c r="B2" s="0" t="n">
        <f aca="false">LEN(A2)</f>
        <v>3</v>
      </c>
    </row>
    <row r="3" customFormat="false" ht="15" hidden="false" customHeight="false" outlineLevel="0" collapsed="false">
      <c r="A3" s="9" t="s">
        <v>114</v>
      </c>
      <c r="B3" s="0" t="n">
        <f aca="false">LEN(A3)</f>
        <v>3</v>
      </c>
    </row>
    <row r="4" customFormat="false" ht="15" hidden="false" customHeight="false" outlineLevel="0" collapsed="false">
      <c r="A4" s="9" t="s">
        <v>122</v>
      </c>
      <c r="B4" s="0" t="n">
        <f aca="false">LEN(A4)</f>
        <v>3</v>
      </c>
    </row>
    <row r="5" customFormat="false" ht="15" hidden="false" customHeight="false" outlineLevel="0" collapsed="false">
      <c r="A5" s="9" t="s">
        <v>24</v>
      </c>
      <c r="B5" s="0" t="n">
        <f aca="false">LEN(A5)</f>
        <v>4</v>
      </c>
    </row>
    <row r="6" customFormat="false" ht="15" hidden="false" customHeight="false" outlineLevel="0" collapsed="false">
      <c r="A6" s="9" t="s">
        <v>33</v>
      </c>
      <c r="B6" s="0" t="n">
        <f aca="false">LEN(A6)</f>
        <v>4</v>
      </c>
    </row>
    <row r="7" customFormat="false" ht="15" hidden="false" customHeight="false" outlineLevel="0" collapsed="false">
      <c r="A7" s="9" t="s">
        <v>84</v>
      </c>
      <c r="B7" s="0" t="n">
        <f aca="false">LEN(A7)</f>
        <v>4</v>
      </c>
    </row>
    <row r="8" customFormat="false" ht="15" hidden="false" customHeight="false" outlineLevel="0" collapsed="false">
      <c r="A8" s="9" t="s">
        <v>108</v>
      </c>
      <c r="B8" s="0" t="n">
        <f aca="false">LEN(A8)</f>
        <v>4</v>
      </c>
    </row>
    <row r="9" customFormat="false" ht="15" hidden="false" customHeight="false" outlineLevel="0" collapsed="false">
      <c r="A9" s="9" t="s">
        <v>136</v>
      </c>
      <c r="B9" s="0" t="n">
        <f aca="false">LEN(A9)</f>
        <v>4</v>
      </c>
    </row>
    <row r="10" customFormat="false" ht="15" hidden="false" customHeight="false" outlineLevel="0" collapsed="false">
      <c r="A10" s="9" t="s">
        <v>165</v>
      </c>
      <c r="B10" s="0" t="n">
        <f aca="false">LEN(A10)</f>
        <v>4</v>
      </c>
    </row>
    <row r="11" customFormat="false" ht="15" hidden="false" customHeight="false" outlineLevel="0" collapsed="false">
      <c r="A11" s="9" t="s">
        <v>234</v>
      </c>
      <c r="B11" s="0" t="n">
        <f aca="false">LEN(A11)</f>
        <v>5</v>
      </c>
    </row>
    <row r="12" customFormat="false" ht="15" hidden="false" customHeight="false" outlineLevel="0" collapsed="false">
      <c r="A12" s="9" t="s">
        <v>235</v>
      </c>
      <c r="B12" s="0" t="n">
        <f aca="false">LEN(A12)</f>
        <v>5</v>
      </c>
    </row>
    <row r="13" customFormat="false" ht="15" hidden="false" customHeight="false" outlineLevel="0" collapsed="false">
      <c r="A13" s="9" t="s">
        <v>29</v>
      </c>
      <c r="B13" s="0" t="n">
        <f aca="false">LEN(A13)</f>
        <v>6</v>
      </c>
    </row>
    <row r="14" customFormat="false" ht="15" hidden="false" customHeight="false" outlineLevel="0" collapsed="false">
      <c r="A14" s="9" t="s">
        <v>30</v>
      </c>
      <c r="B14" s="0" t="n">
        <f aca="false">LEN(A14)</f>
        <v>6</v>
      </c>
    </row>
    <row r="15" customFormat="false" ht="15" hidden="false" customHeight="false" outlineLevel="0" collapsed="false">
      <c r="A15" s="9" t="s">
        <v>39</v>
      </c>
      <c r="B15" s="0" t="n">
        <f aca="false">LEN(A15)</f>
        <v>6</v>
      </c>
    </row>
    <row r="16" customFormat="false" ht="15" hidden="false" customHeight="false" outlineLevel="0" collapsed="false">
      <c r="A16" s="9" t="s">
        <v>50</v>
      </c>
      <c r="B16" s="0" t="n">
        <f aca="false">LEN(A16)</f>
        <v>6</v>
      </c>
    </row>
    <row r="17" customFormat="false" ht="15" hidden="false" customHeight="false" outlineLevel="0" collapsed="false">
      <c r="A17" s="9" t="s">
        <v>236</v>
      </c>
      <c r="B17" s="0" t="n">
        <f aca="false">LEN(A17)</f>
        <v>6</v>
      </c>
    </row>
    <row r="18" customFormat="false" ht="15" hidden="false" customHeight="false" outlineLevel="0" collapsed="false">
      <c r="A18" s="9" t="s">
        <v>237</v>
      </c>
      <c r="B18" s="0" t="n">
        <f aca="false">LEN(A18)</f>
        <v>6</v>
      </c>
    </row>
    <row r="19" customFormat="false" ht="15" hidden="false" customHeight="false" outlineLevel="0" collapsed="false">
      <c r="A19" s="14" t="s">
        <v>238</v>
      </c>
      <c r="B19" s="0" t="n">
        <f aca="false">LEN(A19)</f>
        <v>6</v>
      </c>
    </row>
    <row r="20" customFormat="false" ht="15" hidden="false" customHeight="false" outlineLevel="0" collapsed="false">
      <c r="A20" s="9" t="s">
        <v>77</v>
      </c>
      <c r="B20" s="0" t="n">
        <f aca="false">LEN(A20)</f>
        <v>6</v>
      </c>
    </row>
    <row r="21" customFormat="false" ht="15" hidden="false" customHeight="false" outlineLevel="0" collapsed="false">
      <c r="A21" s="9" t="s">
        <v>78</v>
      </c>
      <c r="B21" s="0" t="n">
        <f aca="false">LEN(A21)</f>
        <v>6</v>
      </c>
    </row>
    <row r="22" customFormat="false" ht="15" hidden="false" customHeight="false" outlineLevel="0" collapsed="false">
      <c r="A22" s="9" t="s">
        <v>90</v>
      </c>
      <c r="B22" s="0" t="n">
        <f aca="false">LEN(A22)</f>
        <v>6</v>
      </c>
    </row>
    <row r="23" customFormat="false" ht="15" hidden="false" customHeight="false" outlineLevel="0" collapsed="false">
      <c r="A23" s="14" t="s">
        <v>91</v>
      </c>
      <c r="B23" s="0" t="n">
        <f aca="false">LEN(A23)</f>
        <v>6</v>
      </c>
    </row>
    <row r="24" customFormat="false" ht="15" hidden="false" customHeight="false" outlineLevel="0" collapsed="false">
      <c r="A24" s="9" t="s">
        <v>117</v>
      </c>
      <c r="B24" s="0" t="n">
        <f aca="false">LEN(A24)</f>
        <v>6</v>
      </c>
    </row>
    <row r="25" customFormat="false" ht="15" hidden="false" customHeight="false" outlineLevel="0" collapsed="false">
      <c r="A25" s="9" t="s">
        <v>120</v>
      </c>
      <c r="B25" s="0" t="n">
        <f aca="false">LEN(A25)</f>
        <v>6</v>
      </c>
    </row>
    <row r="26" customFormat="false" ht="15" hidden="false" customHeight="false" outlineLevel="0" collapsed="false">
      <c r="A26" s="9" t="s">
        <v>126</v>
      </c>
      <c r="B26" s="0" t="n">
        <f aca="false">LEN(A26)</f>
        <v>6</v>
      </c>
    </row>
    <row r="27" customFormat="false" ht="15" hidden="false" customHeight="false" outlineLevel="0" collapsed="false">
      <c r="A27" s="9" t="s">
        <v>161</v>
      </c>
      <c r="B27" s="0" t="n">
        <f aca="false">LEN(A27)</f>
        <v>6</v>
      </c>
    </row>
    <row r="28" customFormat="false" ht="15" hidden="false" customHeight="false" outlineLevel="0" collapsed="false">
      <c r="A28" s="9" t="s">
        <v>239</v>
      </c>
      <c r="B28" s="0" t="n">
        <f aca="false">LEN(A28)</f>
        <v>7</v>
      </c>
    </row>
    <row r="29" customFormat="false" ht="15" hidden="false" customHeight="false" outlineLevel="0" collapsed="false">
      <c r="A29" s="10" t="s">
        <v>73</v>
      </c>
      <c r="B29" s="0" t="n">
        <f aca="false">LEN(A29)</f>
        <v>7</v>
      </c>
    </row>
    <row r="30" customFormat="false" ht="15" hidden="false" customHeight="false" outlineLevel="0" collapsed="false">
      <c r="A30" s="14" t="s">
        <v>74</v>
      </c>
      <c r="B30" s="0" t="n">
        <f aca="false">LEN(A30)</f>
        <v>7</v>
      </c>
    </row>
    <row r="31" customFormat="false" ht="15" hidden="false" customHeight="false" outlineLevel="0" collapsed="false">
      <c r="A31" s="9" t="s">
        <v>80</v>
      </c>
      <c r="B31" s="0" t="n">
        <f aca="false">LEN(A31)</f>
        <v>7</v>
      </c>
    </row>
    <row r="32" customFormat="false" ht="15" hidden="false" customHeight="false" outlineLevel="0" collapsed="false">
      <c r="A32" s="9" t="s">
        <v>89</v>
      </c>
      <c r="B32" s="0" t="n">
        <f aca="false">LEN(A32)</f>
        <v>7</v>
      </c>
    </row>
    <row r="33" customFormat="false" ht="15" hidden="false" customHeight="false" outlineLevel="0" collapsed="false">
      <c r="A33" s="9" t="s">
        <v>95</v>
      </c>
      <c r="B33" s="0" t="n">
        <f aca="false">LEN(A33)</f>
        <v>7</v>
      </c>
    </row>
    <row r="34" customFormat="false" ht="15" hidden="false" customHeight="false" outlineLevel="0" collapsed="false">
      <c r="A34" s="9" t="s">
        <v>100</v>
      </c>
      <c r="B34" s="0" t="n">
        <f aca="false">LEN(A34)</f>
        <v>7</v>
      </c>
    </row>
    <row r="35" customFormat="false" ht="15" hidden="false" customHeight="false" outlineLevel="0" collapsed="false">
      <c r="A35" s="9" t="s">
        <v>101</v>
      </c>
      <c r="B35" s="0" t="n">
        <f aca="false">LEN(A35)</f>
        <v>7</v>
      </c>
    </row>
    <row r="36" customFormat="false" ht="15" hidden="false" customHeight="false" outlineLevel="0" collapsed="false">
      <c r="A36" s="9" t="s">
        <v>109</v>
      </c>
      <c r="B36" s="0" t="n">
        <f aca="false">LEN(A36)</f>
        <v>7</v>
      </c>
    </row>
    <row r="37" customFormat="false" ht="15" hidden="false" customHeight="false" outlineLevel="0" collapsed="false">
      <c r="A37" s="9" t="s">
        <v>111</v>
      </c>
      <c r="B37" s="0" t="n">
        <f aca="false">LEN(A37)</f>
        <v>7</v>
      </c>
    </row>
    <row r="38" customFormat="false" ht="15" hidden="false" customHeight="false" outlineLevel="0" collapsed="false">
      <c r="A38" s="14" t="s">
        <v>123</v>
      </c>
      <c r="B38" s="0" t="n">
        <f aca="false">LEN(A38)</f>
        <v>7</v>
      </c>
    </row>
    <row r="39" customFormat="false" ht="15" hidden="false" customHeight="false" outlineLevel="0" collapsed="false">
      <c r="A39" s="9" t="s">
        <v>240</v>
      </c>
      <c r="B39" s="0" t="n">
        <f aca="false">LEN(A39)</f>
        <v>7</v>
      </c>
    </row>
    <row r="40" customFormat="false" ht="15" hidden="false" customHeight="false" outlineLevel="0" collapsed="false">
      <c r="A40" s="9" t="s">
        <v>134</v>
      </c>
      <c r="B40" s="0" t="n">
        <f aca="false">LEN(A40)</f>
        <v>7</v>
      </c>
    </row>
    <row r="41" customFormat="false" ht="15" hidden="false" customHeight="false" outlineLevel="0" collapsed="false">
      <c r="A41" s="9" t="s">
        <v>241</v>
      </c>
      <c r="B41" s="0" t="n">
        <f aca="false">LEN(A41)</f>
        <v>7</v>
      </c>
    </row>
    <row r="42" customFormat="false" ht="15" hidden="false" customHeight="false" outlineLevel="0" collapsed="false">
      <c r="A42" s="9" t="s">
        <v>147</v>
      </c>
      <c r="B42" s="0" t="n">
        <f aca="false">LEN(A42)</f>
        <v>7</v>
      </c>
    </row>
    <row r="43" customFormat="false" ht="15" hidden="false" customHeight="false" outlineLevel="0" collapsed="false">
      <c r="A43" s="9" t="s">
        <v>242</v>
      </c>
      <c r="B43" s="0" t="n">
        <f aca="false">LEN(A43)</f>
        <v>7</v>
      </c>
    </row>
    <row r="44" customFormat="false" ht="15" hidden="false" customHeight="false" outlineLevel="0" collapsed="false">
      <c r="A44" s="9" t="s">
        <v>156</v>
      </c>
      <c r="B44" s="0" t="n">
        <f aca="false">LEN(A44)</f>
        <v>7</v>
      </c>
    </row>
    <row r="45" customFormat="false" ht="15" hidden="false" customHeight="false" outlineLevel="0" collapsed="false">
      <c r="A45" s="14" t="s">
        <v>243</v>
      </c>
      <c r="B45" s="0" t="n">
        <f aca="false">LEN(A45)</f>
        <v>8</v>
      </c>
    </row>
    <row r="46" customFormat="false" ht="15" hidden="false" customHeight="false" outlineLevel="0" collapsed="false">
      <c r="A46" s="9" t="s">
        <v>43</v>
      </c>
      <c r="B46" s="0" t="n">
        <f aca="false">LEN(A46)</f>
        <v>8</v>
      </c>
    </row>
    <row r="47" customFormat="false" ht="15" hidden="false" customHeight="false" outlineLevel="0" collapsed="false">
      <c r="A47" s="9" t="s">
        <v>244</v>
      </c>
      <c r="B47" s="0" t="n">
        <f aca="false">LEN(A47)</f>
        <v>8</v>
      </c>
    </row>
    <row r="48" customFormat="false" ht="15" hidden="false" customHeight="false" outlineLevel="0" collapsed="false">
      <c r="A48" s="9" t="s">
        <v>245</v>
      </c>
      <c r="B48" s="0" t="n">
        <f aca="false">LEN(A48)</f>
        <v>8</v>
      </c>
    </row>
    <row r="49" customFormat="false" ht="15" hidden="false" customHeight="false" outlineLevel="0" collapsed="false">
      <c r="A49" s="9" t="s">
        <v>79</v>
      </c>
      <c r="B49" s="0" t="n">
        <f aca="false">LEN(A49)</f>
        <v>8</v>
      </c>
    </row>
    <row r="50" customFormat="false" ht="15" hidden="false" customHeight="false" outlineLevel="0" collapsed="false">
      <c r="A50" s="9" t="s">
        <v>87</v>
      </c>
      <c r="B50" s="0" t="n">
        <f aca="false">LEN(A50)</f>
        <v>8</v>
      </c>
    </row>
    <row r="51" customFormat="false" ht="15" hidden="false" customHeight="false" outlineLevel="0" collapsed="false">
      <c r="A51" s="9" t="s">
        <v>88</v>
      </c>
      <c r="B51" s="0" t="n">
        <f aca="false">LEN(A51)</f>
        <v>8</v>
      </c>
    </row>
    <row r="52" customFormat="false" ht="15" hidden="false" customHeight="false" outlineLevel="0" collapsed="false">
      <c r="A52" s="9" t="s">
        <v>105</v>
      </c>
      <c r="B52" s="0" t="n">
        <f aca="false">LEN(A52)</f>
        <v>8</v>
      </c>
    </row>
    <row r="53" customFormat="false" ht="15" hidden="false" customHeight="false" outlineLevel="0" collapsed="false">
      <c r="A53" s="9" t="s">
        <v>110</v>
      </c>
      <c r="B53" s="0" t="n">
        <f aca="false">LEN(A53)</f>
        <v>8</v>
      </c>
    </row>
    <row r="54" customFormat="false" ht="15" hidden="false" customHeight="false" outlineLevel="0" collapsed="false">
      <c r="A54" s="9" t="s">
        <v>155</v>
      </c>
      <c r="B54" s="0" t="n">
        <f aca="false">LEN(A54)</f>
        <v>8</v>
      </c>
    </row>
    <row r="55" customFormat="false" ht="15" hidden="false" customHeight="false" outlineLevel="0" collapsed="false">
      <c r="A55" s="9" t="s">
        <v>162</v>
      </c>
      <c r="B55" s="0" t="n">
        <f aca="false">LEN(A55)</f>
        <v>8</v>
      </c>
    </row>
    <row r="56" customFormat="false" ht="15" hidden="false" customHeight="false" outlineLevel="0" collapsed="false">
      <c r="A56" s="9" t="s">
        <v>18</v>
      </c>
      <c r="B56" s="0" t="n">
        <f aca="false">LEN(A56)</f>
        <v>9</v>
      </c>
    </row>
    <row r="57" customFormat="false" ht="15" hidden="false" customHeight="false" outlineLevel="0" collapsed="false">
      <c r="A57" s="10" t="s">
        <v>246</v>
      </c>
      <c r="B57" s="0" t="n">
        <f aca="false">LEN(A57)</f>
        <v>9</v>
      </c>
    </row>
    <row r="58" customFormat="false" ht="15" hidden="false" customHeight="false" outlineLevel="0" collapsed="false">
      <c r="A58" s="9" t="s">
        <v>92</v>
      </c>
      <c r="B58" s="0" t="n">
        <f aca="false">LEN(A58)</f>
        <v>9</v>
      </c>
    </row>
    <row r="59" customFormat="false" ht="15" hidden="false" customHeight="false" outlineLevel="0" collapsed="false">
      <c r="A59" s="9" t="s">
        <v>115</v>
      </c>
      <c r="B59" s="0" t="n">
        <f aca="false">LEN(A59)</f>
        <v>9</v>
      </c>
    </row>
    <row r="60" customFormat="false" ht="15" hidden="false" customHeight="false" outlineLevel="0" collapsed="false">
      <c r="A60" s="9" t="s">
        <v>119</v>
      </c>
      <c r="B60" s="0" t="n">
        <f aca="false">LEN(A60)</f>
        <v>9</v>
      </c>
    </row>
    <row r="61" customFormat="false" ht="15" hidden="false" customHeight="false" outlineLevel="0" collapsed="false">
      <c r="A61" s="10" t="s">
        <v>125</v>
      </c>
      <c r="B61" s="0" t="n">
        <f aca="false">LEN(A61)</f>
        <v>9</v>
      </c>
    </row>
    <row r="62" customFormat="false" ht="15" hidden="false" customHeight="false" outlineLevel="0" collapsed="false">
      <c r="A62" s="9" t="s">
        <v>127</v>
      </c>
      <c r="B62" s="0" t="n">
        <f aca="false">LEN(A62)</f>
        <v>9</v>
      </c>
    </row>
    <row r="63" customFormat="false" ht="15" hidden="false" customHeight="false" outlineLevel="0" collapsed="false">
      <c r="A63" s="9" t="s">
        <v>247</v>
      </c>
      <c r="B63" s="0" t="n">
        <f aca="false">LEN(A63)</f>
        <v>9</v>
      </c>
    </row>
    <row r="64" customFormat="false" ht="15" hidden="false" customHeight="false" outlineLevel="0" collapsed="false">
      <c r="A64" s="9" t="s">
        <v>158</v>
      </c>
      <c r="B64" s="0" t="n">
        <f aca="false">LEN(A64)</f>
        <v>9</v>
      </c>
    </row>
    <row r="65" customFormat="false" ht="15" hidden="false" customHeight="false" outlineLevel="0" collapsed="false">
      <c r="A65" s="9" t="s">
        <v>248</v>
      </c>
      <c r="B65" s="0" t="n">
        <f aca="false">LEN(A65)</f>
        <v>9</v>
      </c>
    </row>
    <row r="66" customFormat="false" ht="15" hidden="false" customHeight="false" outlineLevel="0" collapsed="false">
      <c r="A66" s="10" t="s">
        <v>249</v>
      </c>
      <c r="B66" s="0" t="n">
        <f aca="false">LEN(A66)</f>
        <v>9</v>
      </c>
    </row>
    <row r="67" customFormat="false" ht="15" hidden="false" customHeight="false" outlineLevel="0" collapsed="false">
      <c r="A67" s="9" t="s">
        <v>16</v>
      </c>
      <c r="B67" s="0" t="n">
        <f aca="false">LEN(A67)</f>
        <v>10</v>
      </c>
    </row>
    <row r="68" customFormat="false" ht="15" hidden="false" customHeight="false" outlineLevel="0" collapsed="false">
      <c r="A68" s="9" t="s">
        <v>22</v>
      </c>
      <c r="B68" s="0" t="n">
        <f aca="false">LEN(A68)</f>
        <v>10</v>
      </c>
    </row>
    <row r="69" customFormat="false" ht="15" hidden="false" customHeight="false" outlineLevel="0" collapsed="false">
      <c r="A69" s="14" t="s">
        <v>250</v>
      </c>
      <c r="B69" s="0" t="n">
        <f aca="false">LEN(A69)</f>
        <v>10</v>
      </c>
    </row>
    <row r="70" customFormat="false" ht="15" hidden="false" customHeight="false" outlineLevel="0" collapsed="false">
      <c r="A70" s="9" t="s">
        <v>47</v>
      </c>
      <c r="B70" s="0" t="n">
        <f aca="false">LEN(A70)</f>
        <v>10</v>
      </c>
    </row>
    <row r="71" customFormat="false" ht="15" hidden="false" customHeight="false" outlineLevel="0" collapsed="false">
      <c r="A71" s="10" t="s">
        <v>251</v>
      </c>
      <c r="B71" s="0" t="n">
        <f aca="false">LEN(A71)</f>
        <v>10</v>
      </c>
    </row>
    <row r="72" customFormat="false" ht="15" hidden="false" customHeight="false" outlineLevel="0" collapsed="false">
      <c r="A72" s="9" t="s">
        <v>252</v>
      </c>
      <c r="B72" s="0" t="n">
        <f aca="false">LEN(A72)</f>
        <v>10</v>
      </c>
    </row>
    <row r="73" customFormat="false" ht="15" hidden="false" customHeight="false" outlineLevel="0" collapsed="false">
      <c r="A73" s="9" t="s">
        <v>253</v>
      </c>
      <c r="B73" s="0" t="n">
        <f aca="false">LEN(A73)</f>
        <v>10</v>
      </c>
    </row>
    <row r="74" customFormat="false" ht="15" hidden="false" customHeight="false" outlineLevel="0" collapsed="false">
      <c r="A74" s="9" t="s">
        <v>254</v>
      </c>
      <c r="B74" s="0" t="n">
        <f aca="false">LEN(A74)</f>
        <v>10</v>
      </c>
    </row>
    <row r="75" customFormat="false" ht="15" hidden="false" customHeight="false" outlineLevel="0" collapsed="false">
      <c r="A75" s="9" t="s">
        <v>255</v>
      </c>
      <c r="B75" s="0" t="n">
        <f aca="false">LEN(A75)</f>
        <v>10</v>
      </c>
    </row>
    <row r="76" customFormat="false" ht="15" hidden="false" customHeight="false" outlineLevel="0" collapsed="false">
      <c r="A76" s="9" t="s">
        <v>256</v>
      </c>
      <c r="B76" s="0" t="n">
        <f aca="false">LEN(A76)</f>
        <v>10</v>
      </c>
    </row>
    <row r="77" customFormat="false" ht="15" hidden="false" customHeight="false" outlineLevel="0" collapsed="false">
      <c r="A77" s="9" t="s">
        <v>257</v>
      </c>
      <c r="B77" s="0" t="n">
        <f aca="false">LEN(A77)</f>
        <v>10</v>
      </c>
    </row>
    <row r="78" customFormat="false" ht="15" hidden="false" customHeight="false" outlineLevel="0" collapsed="false">
      <c r="A78" s="9" t="s">
        <v>113</v>
      </c>
      <c r="B78" s="0" t="n">
        <f aca="false">LEN(A78)</f>
        <v>10</v>
      </c>
    </row>
    <row r="79" customFormat="false" ht="15" hidden="false" customHeight="false" outlineLevel="0" collapsed="false">
      <c r="A79" s="9" t="s">
        <v>121</v>
      </c>
      <c r="B79" s="0" t="n">
        <f aca="false">LEN(A79)</f>
        <v>10</v>
      </c>
    </row>
    <row r="80" customFormat="false" ht="15" hidden="false" customHeight="false" outlineLevel="0" collapsed="false">
      <c r="A80" s="9" t="s">
        <v>258</v>
      </c>
      <c r="B80" s="0" t="n">
        <f aca="false">LEN(A80)</f>
        <v>10</v>
      </c>
    </row>
    <row r="81" customFormat="false" ht="15" hidden="false" customHeight="false" outlineLevel="0" collapsed="false">
      <c r="A81" s="9" t="s">
        <v>259</v>
      </c>
      <c r="B81" s="0" t="n">
        <f aca="false">LEN(A81)</f>
        <v>10</v>
      </c>
    </row>
    <row r="82" customFormat="false" ht="15" hidden="false" customHeight="false" outlineLevel="0" collapsed="false">
      <c r="A82" s="10" t="s">
        <v>157</v>
      </c>
      <c r="B82" s="0" t="n">
        <f aca="false">LEN(A82)</f>
        <v>10</v>
      </c>
    </row>
    <row r="83" customFormat="false" ht="15" hidden="false" customHeight="false" outlineLevel="0" collapsed="false">
      <c r="A83" s="9" t="s">
        <v>260</v>
      </c>
      <c r="B83" s="0" t="n">
        <f aca="false">LEN(A83)</f>
        <v>10</v>
      </c>
    </row>
    <row r="84" customFormat="false" ht="15" hidden="false" customHeight="false" outlineLevel="0" collapsed="false">
      <c r="A84" s="9" t="s">
        <v>261</v>
      </c>
      <c r="B84" s="0" t="n">
        <f aca="false">LEN(A84)</f>
        <v>11</v>
      </c>
    </row>
    <row r="85" customFormat="false" ht="15" hidden="false" customHeight="false" outlineLevel="0" collapsed="false">
      <c r="A85" s="12" t="s">
        <v>262</v>
      </c>
      <c r="B85" s="0" t="n">
        <f aca="false">LEN(A85)</f>
        <v>11</v>
      </c>
    </row>
    <row r="86" customFormat="false" ht="15" hidden="false" customHeight="false" outlineLevel="0" collapsed="false">
      <c r="A86" s="9" t="s">
        <v>263</v>
      </c>
      <c r="B86" s="0" t="n">
        <f aca="false">LEN(A86)</f>
        <v>11</v>
      </c>
    </row>
    <row r="87" customFormat="false" ht="15" hidden="false" customHeight="false" outlineLevel="0" collapsed="false">
      <c r="A87" s="9" t="s">
        <v>264</v>
      </c>
      <c r="B87" s="0" t="n">
        <f aca="false">LEN(A87)</f>
        <v>11</v>
      </c>
    </row>
    <row r="88" customFormat="false" ht="15" hidden="false" customHeight="false" outlineLevel="0" collapsed="false">
      <c r="A88" s="9" t="s">
        <v>265</v>
      </c>
      <c r="B88" s="0" t="n">
        <f aca="false">LEN(A88)</f>
        <v>11</v>
      </c>
    </row>
    <row r="89" customFormat="false" ht="15" hidden="false" customHeight="false" outlineLevel="0" collapsed="false">
      <c r="A89" s="9" t="s">
        <v>266</v>
      </c>
      <c r="B89" s="0" t="n">
        <f aca="false">LEN(A89)</f>
        <v>11</v>
      </c>
    </row>
    <row r="90" customFormat="false" ht="15" hidden="false" customHeight="false" outlineLevel="0" collapsed="false">
      <c r="A90" s="9" t="s">
        <v>138</v>
      </c>
      <c r="B90" s="0" t="n">
        <f aca="false">LEN(A90)</f>
        <v>11</v>
      </c>
    </row>
    <row r="91" customFormat="false" ht="15" hidden="false" customHeight="false" outlineLevel="0" collapsed="false">
      <c r="A91" s="9" t="s">
        <v>267</v>
      </c>
      <c r="B91" s="0" t="n">
        <f aca="false">LEN(A91)</f>
        <v>11</v>
      </c>
    </row>
    <row r="92" customFormat="false" ht="15" hidden="false" customHeight="false" outlineLevel="0" collapsed="false">
      <c r="A92" s="15" t="s">
        <v>268</v>
      </c>
      <c r="B92" s="0" t="n">
        <f aca="false">LEN(A92)</f>
        <v>12</v>
      </c>
    </row>
    <row r="93" customFormat="false" ht="15" hidden="false" customHeight="false" outlineLevel="0" collapsed="false">
      <c r="A93" s="9" t="s">
        <v>269</v>
      </c>
      <c r="B93" s="0" t="n">
        <f aca="false">LEN(A93)</f>
        <v>12</v>
      </c>
    </row>
    <row r="94" customFormat="false" ht="15" hidden="false" customHeight="false" outlineLevel="0" collapsed="false">
      <c r="A94" s="10" t="s">
        <v>270</v>
      </c>
      <c r="B94" s="0" t="n">
        <f aca="false">LEN(A94)</f>
        <v>12</v>
      </c>
    </row>
    <row r="95" customFormat="false" ht="15" hidden="false" customHeight="false" outlineLevel="0" collapsed="false">
      <c r="A95" s="9" t="s">
        <v>49</v>
      </c>
      <c r="B95" s="0" t="n">
        <f aca="false">LEN(A95)</f>
        <v>12</v>
      </c>
    </row>
    <row r="96" customFormat="false" ht="15" hidden="false" customHeight="false" outlineLevel="0" collapsed="false">
      <c r="A96" s="9" t="s">
        <v>271</v>
      </c>
      <c r="B96" s="0" t="n">
        <f aca="false">LEN(A96)</f>
        <v>12</v>
      </c>
    </row>
    <row r="97" customFormat="false" ht="15" hidden="false" customHeight="false" outlineLevel="0" collapsed="false">
      <c r="A97" s="9" t="s">
        <v>272</v>
      </c>
      <c r="B97" s="0" t="n">
        <f aca="false">LEN(A97)</f>
        <v>12</v>
      </c>
    </row>
    <row r="98" customFormat="false" ht="15" hidden="false" customHeight="false" outlineLevel="0" collapsed="false">
      <c r="A98" s="9" t="s">
        <v>273</v>
      </c>
      <c r="B98" s="0" t="n">
        <f aca="false">LEN(A98)</f>
        <v>12</v>
      </c>
    </row>
    <row r="99" customFormat="false" ht="15" hidden="false" customHeight="false" outlineLevel="0" collapsed="false">
      <c r="A99" s="14" t="s">
        <v>274</v>
      </c>
      <c r="B99" s="0" t="n">
        <f aca="false">LEN(A99)</f>
        <v>12</v>
      </c>
    </row>
    <row r="100" customFormat="false" ht="15" hidden="false" customHeight="false" outlineLevel="0" collapsed="false">
      <c r="A100" s="9" t="s">
        <v>102</v>
      </c>
      <c r="B100" s="0" t="n">
        <f aca="false">LEN(A100)</f>
        <v>12</v>
      </c>
    </row>
    <row r="101" customFormat="false" ht="15" hidden="false" customHeight="false" outlineLevel="0" collapsed="false">
      <c r="A101" s="9" t="s">
        <v>275</v>
      </c>
      <c r="B101" s="0" t="n">
        <f aca="false">LEN(A101)</f>
        <v>12</v>
      </c>
    </row>
    <row r="102" customFormat="false" ht="15" hidden="false" customHeight="false" outlineLevel="0" collapsed="false">
      <c r="A102" s="9" t="s">
        <v>276</v>
      </c>
      <c r="B102" s="0" t="n">
        <f aca="false">LEN(A102)</f>
        <v>12</v>
      </c>
    </row>
    <row r="103" customFormat="false" ht="15" hidden="false" customHeight="false" outlineLevel="0" collapsed="false">
      <c r="A103" s="9" t="s">
        <v>131</v>
      </c>
      <c r="B103" s="0" t="n">
        <f aca="false">LEN(A103)</f>
        <v>12</v>
      </c>
    </row>
    <row r="104" customFormat="false" ht="15" hidden="false" customHeight="false" outlineLevel="0" collapsed="false">
      <c r="A104" s="9" t="s">
        <v>277</v>
      </c>
      <c r="B104" s="0" t="n">
        <f aca="false">LEN(A104)</f>
        <v>12</v>
      </c>
    </row>
    <row r="105" customFormat="false" ht="15" hidden="false" customHeight="false" outlineLevel="0" collapsed="false">
      <c r="A105" s="10" t="s">
        <v>278</v>
      </c>
      <c r="B105" s="0" t="n">
        <f aca="false">LEN(A105)</f>
        <v>12</v>
      </c>
    </row>
    <row r="106" customFormat="false" ht="15" hidden="false" customHeight="false" outlineLevel="0" collapsed="false">
      <c r="A106" s="15" t="s">
        <v>148</v>
      </c>
      <c r="B106" s="0" t="n">
        <f aca="false">LEN(A106)</f>
        <v>12</v>
      </c>
    </row>
    <row r="107" customFormat="false" ht="15" hidden="false" customHeight="false" outlineLevel="0" collapsed="false">
      <c r="A107" s="9" t="s">
        <v>279</v>
      </c>
      <c r="B107" s="0" t="n">
        <f aca="false">LEN(A107)</f>
        <v>13</v>
      </c>
    </row>
    <row r="108" customFormat="false" ht="15" hidden="false" customHeight="false" outlineLevel="0" collapsed="false">
      <c r="A108" s="13" t="s">
        <v>280</v>
      </c>
      <c r="B108" s="0" t="n">
        <f aca="false">LEN(A108)</f>
        <v>13</v>
      </c>
    </row>
    <row r="109" customFormat="false" ht="15" hidden="false" customHeight="false" outlineLevel="0" collapsed="false">
      <c r="A109" s="14" t="s">
        <v>281</v>
      </c>
      <c r="B109" s="0" t="n">
        <f aca="false">LEN(A109)</f>
        <v>13</v>
      </c>
    </row>
    <row r="110" customFormat="false" ht="15" hidden="false" customHeight="false" outlineLevel="0" collapsed="false">
      <c r="A110" s="9" t="s">
        <v>282</v>
      </c>
      <c r="B110" s="0" t="n">
        <f aca="false">LEN(A110)</f>
        <v>13</v>
      </c>
    </row>
    <row r="111" customFormat="false" ht="15" hidden="false" customHeight="false" outlineLevel="0" collapsed="false">
      <c r="A111" s="9" t="s">
        <v>283</v>
      </c>
      <c r="B111" s="0" t="n">
        <f aca="false">LEN(A111)</f>
        <v>13</v>
      </c>
    </row>
    <row r="112" customFormat="false" ht="15" hidden="false" customHeight="false" outlineLevel="0" collapsed="false">
      <c r="A112" s="9" t="s">
        <v>284</v>
      </c>
      <c r="B112" s="0" t="n">
        <f aca="false">LEN(A112)</f>
        <v>13</v>
      </c>
    </row>
    <row r="113" customFormat="false" ht="15" hidden="false" customHeight="false" outlineLevel="0" collapsed="false">
      <c r="A113" s="9" t="s">
        <v>75</v>
      </c>
      <c r="B113" s="0" t="n">
        <f aca="false">LEN(A113)</f>
        <v>13</v>
      </c>
    </row>
    <row r="114" customFormat="false" ht="15" hidden="false" customHeight="false" outlineLevel="0" collapsed="false">
      <c r="A114" s="10" t="s">
        <v>285</v>
      </c>
      <c r="B114" s="0" t="n">
        <f aca="false">LEN(A114)</f>
        <v>13</v>
      </c>
    </row>
    <row r="115" customFormat="false" ht="15" hidden="false" customHeight="false" outlineLevel="0" collapsed="false">
      <c r="A115" s="9" t="s">
        <v>286</v>
      </c>
      <c r="B115" s="0" t="n">
        <f aca="false">LEN(A115)</f>
        <v>13</v>
      </c>
    </row>
    <row r="116" customFormat="false" ht="15" hidden="false" customHeight="false" outlineLevel="0" collapsed="false">
      <c r="A116" s="9" t="s">
        <v>287</v>
      </c>
      <c r="B116" s="0" t="n">
        <f aca="false">LEN(A116)</f>
        <v>13</v>
      </c>
    </row>
    <row r="117" customFormat="false" ht="15" hidden="false" customHeight="false" outlineLevel="0" collapsed="false">
      <c r="A117" s="9" t="s">
        <v>288</v>
      </c>
      <c r="B117" s="0" t="n">
        <f aca="false">LEN(A117)</f>
        <v>13</v>
      </c>
    </row>
    <row r="118" customFormat="false" ht="15" hidden="false" customHeight="false" outlineLevel="0" collapsed="false">
      <c r="A118" s="14" t="s">
        <v>289</v>
      </c>
      <c r="B118" s="0" t="n">
        <f aca="false">LEN(A118)</f>
        <v>13</v>
      </c>
    </row>
    <row r="119" customFormat="false" ht="15" hidden="false" customHeight="false" outlineLevel="0" collapsed="false">
      <c r="A119" s="9" t="s">
        <v>290</v>
      </c>
      <c r="B119" s="0" t="n">
        <f aca="false">LEN(A119)</f>
        <v>14</v>
      </c>
    </row>
    <row r="120" customFormat="false" ht="15" hidden="false" customHeight="false" outlineLevel="0" collapsed="false">
      <c r="A120" s="9" t="s">
        <v>291</v>
      </c>
      <c r="B120" s="0" t="n">
        <f aca="false">LEN(A120)</f>
        <v>14</v>
      </c>
    </row>
    <row r="121" customFormat="false" ht="15" hidden="false" customHeight="false" outlineLevel="0" collapsed="false">
      <c r="A121" s="9" t="s">
        <v>292</v>
      </c>
      <c r="B121" s="0" t="n">
        <f aca="false">LEN(A121)</f>
        <v>14</v>
      </c>
    </row>
    <row r="122" customFormat="false" ht="15" hidden="false" customHeight="false" outlineLevel="0" collapsed="false">
      <c r="A122" s="9" t="s">
        <v>293</v>
      </c>
      <c r="B122" s="0" t="n">
        <f aca="false">LEN(A122)</f>
        <v>15</v>
      </c>
    </row>
    <row r="123" customFormat="false" ht="15" hidden="false" customHeight="false" outlineLevel="0" collapsed="false">
      <c r="A123" s="9" t="s">
        <v>294</v>
      </c>
      <c r="B123" s="0" t="n">
        <f aca="false">LEN(A123)</f>
        <v>16</v>
      </c>
    </row>
    <row r="124" customFormat="false" ht="15" hidden="false" customHeight="false" outlineLevel="0" collapsed="false">
      <c r="A124" s="9" t="s">
        <v>295</v>
      </c>
      <c r="B124" s="0" t="n">
        <f aca="false">LEN(A124)</f>
        <v>16</v>
      </c>
    </row>
    <row r="125" customFormat="false" ht="15" hidden="false" customHeight="false" outlineLevel="0" collapsed="false">
      <c r="A125" s="9" t="s">
        <v>296</v>
      </c>
      <c r="B125" s="0" t="n">
        <f aca="false">LEN(A125)</f>
        <v>18</v>
      </c>
    </row>
    <row r="126" customFormat="false" ht="15" hidden="false" customHeight="false" outlineLevel="0" collapsed="false">
      <c r="A126" s="9" t="s">
        <v>297</v>
      </c>
      <c r="B126" s="0" t="n">
        <f aca="false">LEN(A126)</f>
        <v>18</v>
      </c>
    </row>
    <row r="127" customFormat="false" ht="15" hidden="false" customHeight="false" outlineLevel="0" collapsed="false">
      <c r="A127" s="9" t="s">
        <v>298</v>
      </c>
      <c r="B127" s="0" t="n">
        <f aca="false">LEN(A127)</f>
        <v>18</v>
      </c>
    </row>
    <row r="128" customFormat="false" ht="15" hidden="false" customHeight="false" outlineLevel="0" collapsed="false">
      <c r="A128" s="9" t="s">
        <v>299</v>
      </c>
      <c r="B128" s="0" t="n">
        <f aca="false">LEN(A128)</f>
        <v>18</v>
      </c>
    </row>
    <row r="129" customFormat="false" ht="15" hidden="false" customHeight="false" outlineLevel="0" collapsed="false">
      <c r="A129" s="9" t="s">
        <v>300</v>
      </c>
      <c r="B129" s="0" t="n">
        <f aca="false">LEN(A129)</f>
        <v>18</v>
      </c>
    </row>
    <row r="130" customFormat="false" ht="15" hidden="false" customHeight="false" outlineLevel="0" collapsed="false">
      <c r="A130" s="9" t="s">
        <v>301</v>
      </c>
      <c r="B130" s="0" t="n">
        <f aca="false">LEN(A130)</f>
        <v>19</v>
      </c>
    </row>
    <row r="131" customFormat="false" ht="15" hidden="false" customHeight="false" outlineLevel="0" collapsed="false">
      <c r="A131" s="9" t="s">
        <v>302</v>
      </c>
      <c r="B131" s="0" t="n">
        <f aca="false">LEN(A131)</f>
        <v>24</v>
      </c>
    </row>
    <row r="132" customFormat="false" ht="15" hidden="false" customHeight="false" outlineLevel="0" collapsed="false">
      <c r="A132" s="10" t="s">
        <v>303</v>
      </c>
      <c r="B132" s="0" t="n">
        <f aca="false">LEN(A132)</f>
        <v>24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T20" activeCellId="0" sqref="T20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2020-12-25T16:21:58Z</dcterms:created>
  <dc:creator>BasZelluf</dc:creator>
  <dc:description/>
  <dc:language>en-US</dc:language>
  <cp:lastModifiedBy/>
  <cp:lastPrinted>2020-12-27T20:45:27Z</cp:lastPrinted>
  <dcterms:modified xsi:type="dcterms:W3CDTF">2020-12-28T11:15:02Z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