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9F7BEF36-DA51-4688-810C-65E8CD6128A7}" xr6:coauthVersionLast="45" xr6:coauthVersionMax="45" xr10:uidLastSave="{00000000-0000-0000-0000-000000000000}"/>
  <bookViews>
    <workbookView xWindow="0" yWindow="60" windowWidth="23220" windowHeight="12525" firstSheet="1" activeTab="4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2" i="3" l="1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<sst xmlns="http://schemas.openxmlformats.org/spreadsheetml/2006/main" count="447" uniqueCount="236">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</sst>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11" val="4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8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4" workbookViewId="0">
      <selection activeCell="F36" sqref="F36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26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15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19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10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17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12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18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26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12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6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17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17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opLeftCell="C62" zoomScale="85" zoomScaleNormal="85" workbookViewId="0">
      <selection activeCell="H80" sqref="H8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>Met B en B</v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11</v>
      </c>
      <c r="H22" s="12">
        <v>12</v>
      </c>
      <c r="I22" s="12">
        <v>2</v>
      </c>
      <c r="J22" s="12">
        <v>37</v>
      </c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>s Hertogenbosch (DB)</v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/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/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Begint met een B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/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>
        <v>12</v>
      </c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>Water</v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/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/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>Eten en Drinken (ED)</v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>
        <v>27</v>
      </c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>Eten en Drinken (ED)</v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/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>
        <v>21</v>
      </c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>West Brabant</v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>
        <v>29</v>
      </c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>Hilvarenbeek</v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>
        <v>40</v>
      </c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>Typisch Brabants (TB)</v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21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West Brabant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tabSelected="1" topLeftCell="O1" workbookViewId="0">
      <selection activeCell="E3" sqref="E3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Eerste- en Eindletter hetzelfde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Bieb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De Brand (herberg)</v>
      </c>
      <c r="B4" s="22"/>
      <c r="C4" s="22" t="str">
        <f ca="1"/>
        <v>Borghs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Liessel</v>
      </c>
      <c r="B5" s="22"/>
      <c r="C5" s="22" t="str">
        <f ca="1"/>
        <v>Borstbeeld Asselbergs (BA)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Elastiek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Nuenen</v>
      </c>
      <c r="B6" s="22"/>
      <c r="C6" s="22" t="str">
        <f ca="1"/>
        <v>Bouvigne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Glow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Paaspop</v>
      </c>
      <c r="B7" s="22"/>
      <c r="C7" s="22" t="str">
        <f ca="1"/>
        <v>De Blauwe Camer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Halve Zolen</v>
      </c>
      <c r="AN7" s="22"/>
      <c r="AO7" s="22" t="str">
        <f ca="1"/>
        <v>De Paarse Heide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Pand P</v>
      </c>
      <c r="B8" s="22"/>
      <c r="C8" s="22" t="str">
        <f ca="1"/>
        <v>De Koepel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Intents</v>
      </c>
      <c r="AN8" s="22"/>
      <c r="AO8" s="22" t="str">
        <f ca="1"/>
        <v>De Pelikaan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Paperclip</v>
      </c>
      <c r="B9" s="22"/>
      <c r="C9" s="22" t="str">
        <f ca="1"/>
        <v>De Korenbloem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KVL</v>
      </c>
      <c r="AN9" s="22"/>
      <c r="AO9" s="22" t="str">
        <f ca="1"/>
        <v>De 2 Gebroeders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Sint Anthonis</v>
      </c>
      <c r="B10" s="22"/>
      <c r="C10" s="22" t="str">
        <f ca="1"/>
        <v>De Laat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Paaspop</v>
      </c>
      <c r="AN10" s="22"/>
      <c r="AO10" s="22" t="str">
        <f ca="1"/>
        <v>Heimolen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De 2 Gebroeders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Eeendracht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Paperclip</v>
      </c>
      <c r="AN11" s="22"/>
      <c r="AO11" s="22" t="str">
        <f ca="1"/>
        <v>Lies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Sint Juttemis</v>
      </c>
      <c r="B12" s="22"/>
      <c r="C12" s="22" t="str">
        <f ca="1"/>
        <v>De Zwaan 1623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Heeswijk</v>
      </c>
      <c r="AL12" s="22"/>
      <c r="AM12" s="22" t="str">
        <f ca="1"/>
        <v>Roze Maandag</v>
      </c>
      <c r="AN12" s="22"/>
      <c r="AO12" s="22" t="str">
        <f ca="1"/>
        <v>Nieuw Vossemeer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Snuifscheppers (SFS)</v>
      </c>
      <c r="B13" s="22"/>
      <c r="C13" s="22" t="str">
        <f ca="1"/>
        <v>Drakenfontein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>
        <f ca="1"/>
        <v>0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Ijzeren man</v>
      </c>
      <c r="AL13" s="22"/>
      <c r="AM13" s="22" t="str">
        <f ca="1"/>
        <v>Wilhelminapark (WP)</v>
      </c>
      <c r="AN13" s="22"/>
      <c r="AO13" s="22" t="str">
        <f ca="1"/>
        <v>Noordhoek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Strontrapers</v>
      </c>
      <c r="B14" s="22"/>
      <c r="C14" s="22" t="str">
        <f ca="1"/>
        <v>Evoluon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Kampina</v>
      </c>
      <c r="AL14" s="22"/>
      <c r="AM14" s="22" t="str">
        <f ca="1"/>
        <v>Wintelre</v>
      </c>
      <c r="AN14" s="22"/>
      <c r="AO14" s="22" t="str">
        <f ca="1"/>
        <v>Papzakken</v>
      </c>
      <c r="AP14" s="22"/>
      <c r="AQ14" s="22" t="str">
        <f ca="1"/>
        <v>De Heuvel</v>
      </c>
      <c r="AR14" s="22"/>
    </row>
    <row r="15" spans="1:44" x14ac:dyDescent="0.25">
      <c r="A15" s="22" t="str">
        <f ca="1"/>
        <v>Wouw</v>
      </c>
      <c r="B15" s="22"/>
      <c r="C15" s="22" t="str">
        <f ca="1"/>
        <v>Frits Philips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Moerputten</v>
      </c>
      <c r="AL15" s="22"/>
      <c r="AM15" s="22">
        <f ca="1"/>
        <v>0</v>
      </c>
      <c r="AN15" s="22"/>
      <c r="AO15" s="22" t="str">
        <f ca="1"/>
        <v>Ripasso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Heeswijk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Vijfhuizen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Noenes</v>
      </c>
      <c r="AL16" s="22"/>
      <c r="AM16" s="22">
        <f ca="1"/>
        <v>0</v>
      </c>
      <c r="AN16" s="22"/>
      <c r="AO16" s="22" t="str">
        <f ca="1"/>
        <v>St. Willebrord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Helmond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Wilhelminapark (WP)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Oosterplas</v>
      </c>
      <c r="AL17" s="22"/>
      <c r="AM17" s="22">
        <f ca="1"/>
        <v>0</v>
      </c>
      <c r="AN17" s="22"/>
      <c r="AO17" s="22" t="str">
        <f ca="1"/>
        <v>t Zand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Kruikezeiker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 t="str">
        <f ca="1"/>
        <v>Piet de Visser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Venkraai</v>
      </c>
      <c r="AL18" s="22"/>
      <c r="AM18" s="22">
        <f ca="1"/>
        <v>0</v>
      </c>
      <c r="AN18" s="22"/>
      <c r="AO18" s="22" t="str">
        <f ca="1"/>
        <v>Westpoint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KVL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 t="str">
        <f ca="1"/>
        <v>Sint Agatha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Wilhelminapark (WP)</v>
      </c>
      <c r="AL19" s="22"/>
      <c r="AM19" s="22">
        <f ca="1"/>
        <v>0</v>
      </c>
      <c r="AN19" s="22"/>
      <c r="AO19" s="22" t="str">
        <f ca="1"/>
        <v>Wilhelminapark (WP)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Lunetten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 t="str">
        <f ca="1"/>
        <v>t Blauwe Meer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>
        <f ca="1"/>
        <v>0</v>
      </c>
      <c r="AL20" s="22"/>
      <c r="AM20" s="22">
        <f ca="1"/>
        <v>0</v>
      </c>
      <c r="AN20" s="22"/>
      <c r="AO20" s="22" t="str">
        <f ca="1"/>
        <v>Wouw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Maurick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 t="str">
        <f ca="1"/>
        <v>t Zand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Nemerlaer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Sint Jan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Sint Joris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Van Roessel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Wim van Est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 t="str">
        <f ca="1"/>
        <v>Witte Dame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 t="str">
        <f ca="1"/>
        <v>Zittend Meisje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Zotte Mulders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Intents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Kampina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KVL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Lieve Lente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Venkraai</v>
      </c>
      <c r="Z56" s="22"/>
      <c r="AA56" s="22" t="str">
        <f ca="1"/>
        <v>Elastiek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Brand (herberg)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Lunetten</v>
      </c>
      <c r="V57" s="22"/>
      <c r="W57" s="22" t="str">
        <f ca="1"/>
        <v>De Zotte Mulders</v>
      </c>
      <c r="X57" s="22"/>
      <c r="Y57" s="22">
        <f ca="1"/>
        <v>0</v>
      </c>
      <c r="Z57" s="22"/>
      <c r="AA57" s="22" t="str">
        <f ca="1"/>
        <v>Lieve Lente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Pelikaan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NAC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Zwaan 1623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Petrus en Paulus (PP)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Elastiek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Ploegersland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Sint Joris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Heeswijk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Juttemis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Wilhelminapark (WP)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Van Geel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Stinsel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Geel</v>
      </c>
      <c r="AF65" s="22"/>
      <c r="AG65" s="22">
        <f ca="1"/>
        <v>0</v>
      </c>
      <c r="AH65" s="22"/>
      <c r="AI65" s="22" t="str">
        <f ca="1"/>
        <v>Strontrapers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Maurick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Roessel</v>
      </c>
      <c r="AF66" s="22"/>
      <c r="AG66" s="22">
        <f ca="1"/>
        <v>0</v>
      </c>
      <c r="AH66" s="22"/>
      <c r="AI66" s="22" t="str">
        <f ca="1"/>
        <v>t Kruiken(plein)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Nooit Gedacht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Wim van Est</v>
      </c>
      <c r="AF67" s="22"/>
      <c r="AG67" s="22">
        <f ca="1"/>
        <v>0</v>
      </c>
      <c r="AH67" s="22"/>
      <c r="AI67" s="22" t="str">
        <f ca="1"/>
        <v>Worstenbroodje (WB)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Pand P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Ripasso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Schrobbelèr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Sint Joris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t Kruiken(plein)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Van Roessel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Venkraai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Worstenbroodje (WB)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 t="str">
        <f ca="1"/>
        <v>7ende Hemel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De Blauwe Camer</v>
      </c>
    </row>
    <row r="8" spans="1:4" x14ac:dyDescent="0.25">
      <c r="A8" t="str">
        <f ca="1"/>
        <v>Pand P</v>
      </c>
      <c r="D8" t="str">
        <f ca="1"/>
        <v>De Koepel</v>
      </c>
    </row>
    <row r="9" spans="1:4" x14ac:dyDescent="0.25">
      <c r="A9" t="str">
        <f ca="1"/>
        <v>Paperclip</v>
      </c>
      <c r="D9" t="str">
        <f ca="1"/>
        <v>De Korenbloem</v>
      </c>
    </row>
    <row r="10" spans="1:4" x14ac:dyDescent="0.25">
      <c r="A10" t="str">
        <f ca="1"/>
        <v>Sint Anthonis</v>
      </c>
      <c r="D10" t="str">
        <f ca="1"/>
        <v>De Laat</v>
      </c>
    </row>
    <row r="11" spans="1:4" x14ac:dyDescent="0.25">
      <c r="A11" t="str">
        <f ca="1"/>
        <v>Sint Joris</v>
      </c>
      <c r="D11" t="str">
        <f ca="1"/>
        <v>De 2 Gebroeders</v>
      </c>
    </row>
    <row r="12" spans="1:4" x14ac:dyDescent="0.25">
      <c r="A12" t="str">
        <f ca="1"/>
        <v>Sint Juttemis</v>
      </c>
      <c r="D12" t="str">
        <f ca="1"/>
        <v>De Zwaan 1623</v>
      </c>
    </row>
    <row r="13" spans="1:4" x14ac:dyDescent="0.25">
      <c r="A13" t="str">
        <f ca="1"/>
        <v>Snuifscheppers (SFS)</v>
      </c>
      <c r="D13" t="str">
        <f ca="1"/>
        <v>Drakenfontein</v>
      </c>
    </row>
    <row r="14" spans="1:4" x14ac:dyDescent="0.25">
      <c r="A14" t="str">
        <f ca="1"/>
        <v>Strontrapers</v>
      </c>
      <c r="D14" t="str">
        <f ca="1"/>
        <v>Evoluon</v>
      </c>
    </row>
    <row r="15" spans="1:4" x14ac:dyDescent="0.25">
      <c r="A15" t="str">
        <f ca="1"/>
        <v>Wouw</v>
      </c>
      <c r="D15" t="str">
        <f ca="1"/>
        <v>Frits Philips</v>
      </c>
    </row>
    <row r="16" spans="1:4" x14ac:dyDescent="0.25">
      <c r="A16">
        <f ca="1"/>
        <v>0</v>
      </c>
      <c r="D16" t="str">
        <f ca="1"/>
        <v>Heeswijk</v>
      </c>
    </row>
    <row r="17" spans="1:4" x14ac:dyDescent="0.25">
      <c r="A17">
        <f ca="1"/>
        <v>0</v>
      </c>
      <c r="D17" t="str">
        <f ca="1"/>
        <v>Helmond</v>
      </c>
    </row>
    <row r="18" spans="1:4" x14ac:dyDescent="0.25">
      <c r="A18">
        <f ca="1"/>
        <v>0</v>
      </c>
      <c r="D18" t="str">
        <f ca="1"/>
        <v>Kruikezeiker</v>
      </c>
    </row>
    <row r="19" spans="1:4" x14ac:dyDescent="0.25">
      <c r="A19">
        <f ca="1"/>
        <v>0</v>
      </c>
      <c r="D19" t="str">
        <f ca="1"/>
        <v>KVL</v>
      </c>
    </row>
    <row r="20" spans="1:4" x14ac:dyDescent="0.25">
      <c r="A20">
        <f ca="1"/>
        <v>0</v>
      </c>
      <c r="D20" t="str">
        <f ca="1"/>
        <v>Lunetten</v>
      </c>
    </row>
    <row r="21" spans="1:4" x14ac:dyDescent="0.25">
      <c r="A21">
        <f ca="1"/>
        <v>0</v>
      </c>
      <c r="D21" t="str">
        <f ca="1"/>
        <v>Maurick</v>
      </c>
    </row>
    <row r="22" spans="1:4" x14ac:dyDescent="0.25">
      <c r="A22">
        <f ca="1"/>
        <v>0</v>
      </c>
      <c r="D22" t="str">
        <f ca="1"/>
        <v>Nemerlaer</v>
      </c>
    </row>
    <row r="23" spans="1:4" x14ac:dyDescent="0.25">
      <c r="A23">
        <f ca="1"/>
        <v>0</v>
      </c>
      <c r="D23" t="str">
        <f ca="1"/>
        <v>Sint Jan</v>
      </c>
    </row>
    <row r="24" spans="1:4" x14ac:dyDescent="0.25">
      <c r="A24">
        <f ca="1"/>
        <v>0</v>
      </c>
      <c r="D24" t="str">
        <f ca="1"/>
        <v>Sint Joris</v>
      </c>
    </row>
    <row r="25" spans="1:4" x14ac:dyDescent="0.25">
      <c r="A25">
        <f ca="1"/>
        <v>0</v>
      </c>
      <c r="D25" t="str">
        <f ca="1"/>
        <v>Van Roessel</v>
      </c>
    </row>
    <row r="26" spans="1:4" x14ac:dyDescent="0.25">
      <c r="A26">
        <f ca="1"/>
        <v>0</v>
      </c>
      <c r="D26" t="str">
        <f ca="1"/>
        <v>Wim van Est</v>
      </c>
    </row>
    <row r="27" spans="1:4" x14ac:dyDescent="0.25">
      <c r="A27">
        <f ca="1"/>
        <v>0</v>
      </c>
      <c r="D27" t="str">
        <f ca="1"/>
        <v>Witte Dame</v>
      </c>
    </row>
    <row r="28" spans="1:4" x14ac:dyDescent="0.25">
      <c r="A28">
        <f ca="1"/>
        <v>0</v>
      </c>
      <c r="D28" t="str">
        <f ca="1"/>
        <v>Zittend Meisje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9" sqref="C9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11</v>
      </c>
      <c r="C2">
        <v>8</v>
      </c>
    </row>
    <row r="4" spans="1:3" x14ac:dyDescent="0.25">
      <c r="A4" t="str" cm="1">
        <f t="array" ref="A4">INDEX(Antwoorden!$M$2:$T$133,'Per antwoord'!A2,1)</f>
        <v>Met B en B</v>
      </c>
      <c r="C4" t="str" cm="1">
        <f t="array" ref="C4">INDEX(Antwoorden!$M$2:$T$133,'Per antwoord'!C2,1)</f>
        <v>Begint met een B</v>
      </c>
    </row>
    <row r="5" spans="1:3" x14ac:dyDescent="0.25">
      <c r="A5" t="str" cm="1">
        <f t="array" ref="A5">INDEX(Antwoorden!$M$2:$T$133,'Per antwoord'!A2,2)</f>
        <v>Hilvarenbeek</v>
      </c>
      <c r="C5" t="str" cm="1">
        <f t="array" ref="C5">INDEX(Antwoorden!$M$2:$T$133,'Per antwoord'!C2,2)</f>
        <v>Typisch Brabants (TB)</v>
      </c>
    </row>
    <row r="6" spans="1:3" x14ac:dyDescent="0.25">
      <c r="A6" t="str" cm="1">
        <f t="array" ref="A6">INDEX(Antwoorden!$M$2:$T$133,'Per antwoord'!A2,3)</f>
        <v>Dierlijk</v>
      </c>
      <c r="C6" t="str" cm="1">
        <f t="array" ref="C6">INDEX(Antwoorden!$M$2:$T$133,'Per antwoord'!C2,3)</f>
        <v>Met B en B</v>
      </c>
    </row>
    <row r="7" spans="1:3" x14ac:dyDescent="0.25">
      <c r="A7" t="str" cm="1">
        <f t="array" ref="A7">INDEX(Antwoorden!$M$2:$T$133,'Per antwoord'!A2,4)</f>
        <v>Festival</v>
      </c>
      <c r="C7" t="str" cm="1">
        <f t="array" ref="C7">INDEX(Antwoorden!$M$2:$T$133,'Per antwoord'!C2,4)</f>
        <v>Dierlijk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Eten en Drinken (ED)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2020-12-31T00:29:47Z</dcterms:modified>
</cp:coreProperties>
</file>